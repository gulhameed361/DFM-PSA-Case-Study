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gh00616_surrey_ac_uk/Documents/Desktop/PhD Folder/TRF Codes (PhD Work)/TRF Algorithm/"/>
    </mc:Choice>
  </mc:AlternateContent>
  <xr:revisionPtr revIDLastSave="243" documentId="13_ncr:1_{67156837-D2A1-48FD-9D09-88FA177F16F4}" xr6:coauthVersionLast="47" xr6:coauthVersionMax="47" xr10:uidLastSave="{09FD6411-930C-4C9A-9979-2FA346B4919B}"/>
  <bookViews>
    <workbookView xWindow="-110" yWindow="-110" windowWidth="19420" windowHeight="10420" activeTab="3" xr2:uid="{F1712B37-FE7D-49FB-ADFB-0DA615F87843}"/>
  </bookViews>
  <sheets>
    <sheet name="To_Use" sheetId="2" r:id="rId1"/>
    <sheet name="To_Use1" sheetId="1" r:id="rId2"/>
    <sheet name="To_Use2" sheetId="4" r:id="rId3"/>
    <sheet name="To_Use3" sheetId="5" r:id="rId4"/>
    <sheet name="To_Use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0" i="5" l="1"/>
  <c r="V78" i="5"/>
  <c r="V78" i="6"/>
  <c r="V79" i="6"/>
  <c r="V80" i="6"/>
  <c r="V77" i="5"/>
  <c r="U77" i="5"/>
  <c r="W77" i="5" s="1"/>
  <c r="U80" i="5"/>
  <c r="V79" i="5"/>
  <c r="U79" i="5"/>
  <c r="U78" i="5"/>
  <c r="Q79" i="5"/>
  <c r="V75" i="5"/>
  <c r="U75" i="5"/>
  <c r="U80" i="6"/>
  <c r="U79" i="6"/>
  <c r="W71" i="6"/>
  <c r="U78" i="6"/>
  <c r="U77" i="6"/>
  <c r="W77" i="6" s="1"/>
  <c r="V77" i="6"/>
  <c r="V43" i="6"/>
  <c r="V24" i="6"/>
  <c r="V44" i="6"/>
  <c r="W75" i="6"/>
  <c r="U75" i="6"/>
  <c r="V75" i="6"/>
  <c r="V66" i="6"/>
  <c r="V65" i="6"/>
  <c r="Q67" i="6"/>
  <c r="V64" i="6"/>
  <c r="Q66" i="6"/>
  <c r="U72" i="6"/>
  <c r="V6" i="6"/>
  <c r="V32" i="6"/>
  <c r="U32" i="6"/>
  <c r="U20" i="6"/>
  <c r="U10" i="6"/>
  <c r="U9" i="6"/>
  <c r="V71" i="6"/>
  <c r="U71" i="6"/>
  <c r="V68" i="6"/>
  <c r="U68" i="6"/>
  <c r="U66" i="6"/>
  <c r="U65" i="6"/>
  <c r="U64" i="6"/>
  <c r="V63" i="6"/>
  <c r="U63" i="6"/>
  <c r="M62" i="6"/>
  <c r="V61" i="6"/>
  <c r="U61" i="6"/>
  <c r="V60" i="6"/>
  <c r="U60" i="6"/>
  <c r="V59" i="6"/>
  <c r="U59" i="6"/>
  <c r="V57" i="6"/>
  <c r="U57" i="6"/>
  <c r="U56" i="6"/>
  <c r="V55" i="6"/>
  <c r="U55" i="6"/>
  <c r="U54" i="6"/>
  <c r="V52" i="6"/>
  <c r="U52" i="6"/>
  <c r="V51" i="6"/>
  <c r="U51" i="6"/>
  <c r="V49" i="6"/>
  <c r="U49" i="6"/>
  <c r="V48" i="6"/>
  <c r="U48" i="6"/>
  <c r="W48" i="6" s="1"/>
  <c r="V47" i="6"/>
  <c r="W47" i="6" s="1"/>
  <c r="U47" i="6"/>
  <c r="V45" i="6"/>
  <c r="U45" i="6"/>
  <c r="W45" i="6" s="1"/>
  <c r="U44" i="6"/>
  <c r="U43" i="6"/>
  <c r="V41" i="6"/>
  <c r="U41" i="6"/>
  <c r="V40" i="6"/>
  <c r="U40" i="6"/>
  <c r="V39" i="6"/>
  <c r="U39" i="6"/>
  <c r="V37" i="6"/>
  <c r="U37" i="6"/>
  <c r="U36" i="6"/>
  <c r="N35" i="6"/>
  <c r="L35" i="6"/>
  <c r="V34" i="6"/>
  <c r="U34" i="6"/>
  <c r="N34" i="6"/>
  <c r="L34" i="6"/>
  <c r="U33" i="6"/>
  <c r="W32" i="6"/>
  <c r="V28" i="6"/>
  <c r="V26" i="6"/>
  <c r="V27" i="6" s="1"/>
  <c r="U26" i="6"/>
  <c r="M25" i="6"/>
  <c r="U8" i="6" s="1"/>
  <c r="W8" i="6" s="1"/>
  <c r="U24" i="6"/>
  <c r="M24" i="6"/>
  <c r="W9" i="6" s="1"/>
  <c r="V22" i="6"/>
  <c r="U22" i="6"/>
  <c r="H21" i="6"/>
  <c r="V20" i="6"/>
  <c r="H20" i="6"/>
  <c r="V15" i="6"/>
  <c r="U15" i="6"/>
  <c r="V14" i="6"/>
  <c r="U14" i="6"/>
  <c r="AC13" i="6"/>
  <c r="AE13" i="6" s="1"/>
  <c r="AG13" i="6" s="1"/>
  <c r="V13" i="6"/>
  <c r="U13" i="6"/>
  <c r="N13" i="6"/>
  <c r="N14" i="6" s="1"/>
  <c r="L13" i="6"/>
  <c r="AC12" i="6"/>
  <c r="AE12" i="6" s="1"/>
  <c r="AG12" i="6" s="1"/>
  <c r="AI12" i="6" s="1"/>
  <c r="AK12" i="6" s="1"/>
  <c r="V12" i="6"/>
  <c r="U12" i="6"/>
  <c r="V11" i="6"/>
  <c r="U11" i="6"/>
  <c r="W11" i="6" s="1"/>
  <c r="R11" i="6"/>
  <c r="V10" i="6"/>
  <c r="D10" i="6"/>
  <c r="V9" i="6"/>
  <c r="D9" i="6"/>
  <c r="V8" i="6"/>
  <c r="D8" i="6"/>
  <c r="V7" i="6"/>
  <c r="U7" i="6"/>
  <c r="U6" i="6"/>
  <c r="D6" i="6"/>
  <c r="V33" i="6" s="1"/>
  <c r="V66" i="5"/>
  <c r="V64" i="5"/>
  <c r="V55" i="5"/>
  <c r="V6" i="5"/>
  <c r="U6" i="5"/>
  <c r="V71" i="5"/>
  <c r="V22" i="5"/>
  <c r="U8" i="5"/>
  <c r="V8" i="5"/>
  <c r="V72" i="5"/>
  <c r="V32" i="5"/>
  <c r="V39" i="5"/>
  <c r="V65" i="5"/>
  <c r="U61" i="5"/>
  <c r="V60" i="5"/>
  <c r="V61" i="5"/>
  <c r="V59" i="5"/>
  <c r="N13" i="5"/>
  <c r="V68" i="5"/>
  <c r="V33" i="5"/>
  <c r="U72" i="5"/>
  <c r="V34" i="5"/>
  <c r="U32" i="5"/>
  <c r="AC13" i="5"/>
  <c r="AE13" i="5" s="1"/>
  <c r="AG13" i="5" s="1"/>
  <c r="AC12" i="5"/>
  <c r="AE12" i="5" s="1"/>
  <c r="AG12" i="5" s="1"/>
  <c r="AI12" i="5" s="1"/>
  <c r="AK12" i="5" s="1"/>
  <c r="V68" i="2"/>
  <c r="U68" i="2"/>
  <c r="W68" i="2" s="1"/>
  <c r="V68" i="1"/>
  <c r="U68" i="1"/>
  <c r="W68" i="1" s="1"/>
  <c r="V68" i="4"/>
  <c r="U68" i="4"/>
  <c r="W68" i="4" s="1"/>
  <c r="U68" i="5"/>
  <c r="M24" i="5"/>
  <c r="M25" i="5" s="1"/>
  <c r="W8" i="5" s="1"/>
  <c r="R11" i="5"/>
  <c r="V26" i="5"/>
  <c r="V27" i="5" s="1"/>
  <c r="U20" i="5"/>
  <c r="V20" i="5"/>
  <c r="U66" i="5"/>
  <c r="U65" i="5"/>
  <c r="U64" i="5"/>
  <c r="V63" i="5"/>
  <c r="U63" i="5"/>
  <c r="M62" i="5"/>
  <c r="U60" i="5"/>
  <c r="U59" i="5"/>
  <c r="V57" i="5"/>
  <c r="U57" i="5"/>
  <c r="U56" i="5"/>
  <c r="U55" i="5"/>
  <c r="U54" i="5"/>
  <c r="V52" i="5"/>
  <c r="U52" i="5"/>
  <c r="V51" i="5"/>
  <c r="U51" i="5"/>
  <c r="V49" i="5"/>
  <c r="U49" i="5"/>
  <c r="V48" i="5"/>
  <c r="U48" i="5"/>
  <c r="V47" i="5"/>
  <c r="U47" i="5"/>
  <c r="V45" i="5"/>
  <c r="U45" i="5"/>
  <c r="V44" i="5"/>
  <c r="U44" i="5"/>
  <c r="V43" i="5"/>
  <c r="U43" i="5"/>
  <c r="V41" i="5"/>
  <c r="U41" i="5"/>
  <c r="V40" i="5"/>
  <c r="U40" i="5"/>
  <c r="U39" i="5"/>
  <c r="V37" i="5"/>
  <c r="U37" i="5"/>
  <c r="V36" i="5"/>
  <c r="U36" i="5"/>
  <c r="N35" i="5"/>
  <c r="L35" i="5"/>
  <c r="U34" i="5"/>
  <c r="N34" i="5"/>
  <c r="L34" i="5"/>
  <c r="U33" i="5"/>
  <c r="V28" i="5"/>
  <c r="U26" i="5"/>
  <c r="V24" i="5"/>
  <c r="U24" i="5"/>
  <c r="U22" i="5"/>
  <c r="H21" i="5"/>
  <c r="H20" i="5"/>
  <c r="V15" i="5"/>
  <c r="U15" i="5"/>
  <c r="V14" i="5"/>
  <c r="U14" i="5"/>
  <c r="V13" i="5"/>
  <c r="U13" i="5"/>
  <c r="N14" i="5"/>
  <c r="L13" i="5"/>
  <c r="V12" i="5"/>
  <c r="U12" i="5"/>
  <c r="V11" i="5"/>
  <c r="U11" i="5"/>
  <c r="V10" i="5"/>
  <c r="U10" i="5"/>
  <c r="D10" i="5"/>
  <c r="V9" i="5"/>
  <c r="D9" i="5"/>
  <c r="D8" i="5"/>
  <c r="V7" i="5"/>
  <c r="U7" i="5"/>
  <c r="D6" i="5"/>
  <c r="U26" i="4"/>
  <c r="V26" i="4"/>
  <c r="V24" i="4"/>
  <c r="U24" i="4"/>
  <c r="U22" i="4"/>
  <c r="V22" i="4"/>
  <c r="V20" i="4"/>
  <c r="U20" i="4"/>
  <c r="R11" i="4"/>
  <c r="V66" i="1"/>
  <c r="U66" i="1"/>
  <c r="W66" i="1" s="1"/>
  <c r="V66" i="4"/>
  <c r="U66" i="4"/>
  <c r="W66" i="2"/>
  <c r="U66" i="2"/>
  <c r="V66" i="2"/>
  <c r="V65" i="2"/>
  <c r="V64" i="2"/>
  <c r="V65" i="4"/>
  <c r="U65" i="4"/>
  <c r="W65" i="4" s="1"/>
  <c r="V64" i="4"/>
  <c r="U64" i="4"/>
  <c r="V63" i="4"/>
  <c r="U63" i="4"/>
  <c r="V63" i="2"/>
  <c r="U65" i="2"/>
  <c r="W65" i="2" s="1"/>
  <c r="U64" i="2"/>
  <c r="W64" i="2" s="1"/>
  <c r="W63" i="2"/>
  <c r="U63" i="2"/>
  <c r="W63" i="1"/>
  <c r="W64" i="1"/>
  <c r="W65" i="1"/>
  <c r="U65" i="1"/>
  <c r="U64" i="1"/>
  <c r="U63" i="1"/>
  <c r="V64" i="1"/>
  <c r="V65" i="1"/>
  <c r="V63" i="1"/>
  <c r="V54" i="1"/>
  <c r="V55" i="1"/>
  <c r="V44" i="1"/>
  <c r="V43" i="1"/>
  <c r="V39" i="1"/>
  <c r="V24" i="1"/>
  <c r="V22" i="1"/>
  <c r="M24" i="1"/>
  <c r="R11" i="1"/>
  <c r="W33" i="1"/>
  <c r="W34" i="1"/>
  <c r="W36" i="1"/>
  <c r="W37" i="1"/>
  <c r="W47" i="1"/>
  <c r="W51" i="1"/>
  <c r="W52" i="1"/>
  <c r="W54" i="1"/>
  <c r="W55" i="1"/>
  <c r="V39" i="2"/>
  <c r="V26" i="2"/>
  <c r="U24" i="2"/>
  <c r="V24" i="2"/>
  <c r="U22" i="2"/>
  <c r="V22" i="2"/>
  <c r="V20" i="2"/>
  <c r="V11" i="2"/>
  <c r="U10" i="2"/>
  <c r="V10" i="2"/>
  <c r="U8" i="2"/>
  <c r="V8" i="2"/>
  <c r="M24" i="4"/>
  <c r="U9" i="4" s="1"/>
  <c r="W9" i="4" s="1"/>
  <c r="V43" i="4"/>
  <c r="V39" i="4"/>
  <c r="V27" i="4"/>
  <c r="V55" i="4"/>
  <c r="V54" i="4"/>
  <c r="U39" i="4"/>
  <c r="M62" i="4"/>
  <c r="V60" i="4"/>
  <c r="U60" i="4"/>
  <c r="V59" i="4"/>
  <c r="U59" i="4"/>
  <c r="V57" i="4"/>
  <c r="U57" i="4"/>
  <c r="U56" i="4"/>
  <c r="U55" i="4"/>
  <c r="U54" i="4"/>
  <c r="V52" i="4"/>
  <c r="U52" i="4"/>
  <c r="V51" i="4"/>
  <c r="U51" i="4"/>
  <c r="V49" i="4"/>
  <c r="U49" i="4"/>
  <c r="V48" i="4"/>
  <c r="U48" i="4"/>
  <c r="V47" i="4"/>
  <c r="U47" i="4"/>
  <c r="V45" i="4"/>
  <c r="U45" i="4"/>
  <c r="V44" i="4"/>
  <c r="U44" i="4"/>
  <c r="U43" i="4"/>
  <c r="W43" i="4" s="1"/>
  <c r="V41" i="4"/>
  <c r="U41" i="4"/>
  <c r="V40" i="4"/>
  <c r="U40" i="4"/>
  <c r="V37" i="4"/>
  <c r="U37" i="4"/>
  <c r="V36" i="4"/>
  <c r="U36" i="4"/>
  <c r="N35" i="4"/>
  <c r="L35" i="4"/>
  <c r="U34" i="4"/>
  <c r="N34" i="4"/>
  <c r="L34" i="4"/>
  <c r="U33" i="4"/>
  <c r="V28" i="4"/>
  <c r="H21" i="4"/>
  <c r="W20" i="4"/>
  <c r="H20" i="4"/>
  <c r="U18" i="4"/>
  <c r="V17" i="4"/>
  <c r="U17" i="4"/>
  <c r="V18" i="4" s="1"/>
  <c r="W18" i="4" s="1"/>
  <c r="V15" i="4"/>
  <c r="U15" i="4"/>
  <c r="W15" i="4" s="1"/>
  <c r="V14" i="4"/>
  <c r="U14" i="4"/>
  <c r="N14" i="4"/>
  <c r="V13" i="4"/>
  <c r="U13" i="4"/>
  <c r="N13" i="4"/>
  <c r="L13" i="4"/>
  <c r="L14" i="4" s="1"/>
  <c r="V12" i="4"/>
  <c r="U12" i="4"/>
  <c r="V11" i="4"/>
  <c r="U11" i="4"/>
  <c r="V10" i="4"/>
  <c r="U10" i="4"/>
  <c r="D10" i="4"/>
  <c r="V9" i="4"/>
  <c r="D9" i="4"/>
  <c r="V8" i="4"/>
  <c r="D8" i="4"/>
  <c r="V34" i="4" s="1"/>
  <c r="V7" i="4"/>
  <c r="U7" i="4"/>
  <c r="D6" i="4"/>
  <c r="V33" i="4" s="1"/>
  <c r="U39" i="2"/>
  <c r="W39" i="2" s="1"/>
  <c r="U59" i="2"/>
  <c r="V54" i="2"/>
  <c r="U51" i="2"/>
  <c r="V51" i="2"/>
  <c r="W51" i="2" s="1"/>
  <c r="V49" i="2"/>
  <c r="U48" i="2"/>
  <c r="U47" i="2"/>
  <c r="V47" i="2"/>
  <c r="V30" i="2"/>
  <c r="V29" i="2"/>
  <c r="U26" i="2"/>
  <c r="M24" i="2"/>
  <c r="V40" i="2"/>
  <c r="V44" i="2"/>
  <c r="V43" i="2"/>
  <c r="U43" i="2"/>
  <c r="U9" i="2"/>
  <c r="R11" i="2"/>
  <c r="M62" i="2"/>
  <c r="V60" i="2"/>
  <c r="U60" i="2"/>
  <c r="V59" i="2"/>
  <c r="V57" i="2"/>
  <c r="U57" i="2"/>
  <c r="U56" i="2"/>
  <c r="U55" i="2"/>
  <c r="U54" i="2"/>
  <c r="V52" i="2"/>
  <c r="W52" i="2" s="1"/>
  <c r="U52" i="2"/>
  <c r="U49" i="2"/>
  <c r="W49" i="2" s="1"/>
  <c r="V48" i="2"/>
  <c r="V45" i="2"/>
  <c r="U45" i="2"/>
  <c r="U44" i="2"/>
  <c r="V41" i="2"/>
  <c r="U41" i="2"/>
  <c r="U40" i="2"/>
  <c r="V37" i="2"/>
  <c r="U37" i="2"/>
  <c r="V36" i="2"/>
  <c r="U36" i="2"/>
  <c r="N35" i="2"/>
  <c r="L35" i="2"/>
  <c r="V34" i="2"/>
  <c r="U34" i="2"/>
  <c r="N34" i="2"/>
  <c r="L34" i="2"/>
  <c r="U33" i="2"/>
  <c r="V32" i="2"/>
  <c r="V31" i="2"/>
  <c r="U31" i="2"/>
  <c r="U29" i="2"/>
  <c r="V28" i="2"/>
  <c r="V27" i="2"/>
  <c r="H21" i="2"/>
  <c r="U20" i="2"/>
  <c r="W20" i="2" s="1"/>
  <c r="H20" i="2"/>
  <c r="U18" i="2"/>
  <c r="V17" i="2"/>
  <c r="U17" i="2"/>
  <c r="V18" i="2" s="1"/>
  <c r="V15" i="2"/>
  <c r="U15" i="2"/>
  <c r="V14" i="2"/>
  <c r="U14" i="2"/>
  <c r="V13" i="2"/>
  <c r="U13" i="2"/>
  <c r="N13" i="2"/>
  <c r="N14" i="2" s="1"/>
  <c r="L13" i="2"/>
  <c r="L14" i="2" s="1"/>
  <c r="V12" i="2"/>
  <c r="U12" i="2"/>
  <c r="U11" i="2"/>
  <c r="D10" i="2"/>
  <c r="V55" i="2" s="1"/>
  <c r="V9" i="2"/>
  <c r="D9" i="2"/>
  <c r="D8" i="2"/>
  <c r="V7" i="2"/>
  <c r="U7" i="2"/>
  <c r="D6" i="2"/>
  <c r="V33" i="2" s="1"/>
  <c r="V47" i="1"/>
  <c r="V48" i="1"/>
  <c r="U60" i="1"/>
  <c r="M62" i="1"/>
  <c r="V60" i="1"/>
  <c r="W60" i="1" s="1"/>
  <c r="U59" i="1"/>
  <c r="V59" i="1"/>
  <c r="W59" i="1" s="1"/>
  <c r="U57" i="1"/>
  <c r="V57" i="1"/>
  <c r="W57" i="1" s="1"/>
  <c r="U56" i="1"/>
  <c r="W56" i="1" s="1"/>
  <c r="U55" i="1"/>
  <c r="U54" i="1"/>
  <c r="V56" i="1"/>
  <c r="U52" i="1"/>
  <c r="V52" i="1"/>
  <c r="U51" i="1"/>
  <c r="V51" i="1"/>
  <c r="U49" i="1"/>
  <c r="V49" i="1"/>
  <c r="U48" i="1"/>
  <c r="W48" i="1" s="1"/>
  <c r="U47" i="1"/>
  <c r="V45" i="1"/>
  <c r="W45" i="1" s="1"/>
  <c r="U45" i="1"/>
  <c r="U44" i="1"/>
  <c r="W44" i="1" s="1"/>
  <c r="U43" i="1"/>
  <c r="W43" i="1"/>
  <c r="U41" i="1"/>
  <c r="U40" i="1"/>
  <c r="V41" i="1"/>
  <c r="V40" i="1"/>
  <c r="U39" i="1"/>
  <c r="N35" i="1"/>
  <c r="L35" i="1"/>
  <c r="U37" i="1"/>
  <c r="V37" i="1"/>
  <c r="U36" i="1"/>
  <c r="N34" i="1"/>
  <c r="L34" i="1"/>
  <c r="V36" i="1"/>
  <c r="U34" i="1"/>
  <c r="U33" i="1"/>
  <c r="V34" i="1"/>
  <c r="D10" i="1"/>
  <c r="D8" i="1"/>
  <c r="D9" i="1"/>
  <c r="V33" i="1" s="1"/>
  <c r="D6" i="1"/>
  <c r="V32" i="1"/>
  <c r="U31" i="1"/>
  <c r="V31" i="1"/>
  <c r="V30" i="1"/>
  <c r="U29" i="1"/>
  <c r="V29" i="1"/>
  <c r="V28" i="1"/>
  <c r="U26" i="1"/>
  <c r="V26" i="1"/>
  <c r="V27" i="1" s="1"/>
  <c r="U24" i="1"/>
  <c r="U22" i="1"/>
  <c r="U20" i="1"/>
  <c r="U18" i="1"/>
  <c r="U17" i="1"/>
  <c r="V18" i="1" s="1"/>
  <c r="W18" i="1" s="1"/>
  <c r="N13" i="1"/>
  <c r="N14" i="1" s="1"/>
  <c r="L13" i="1"/>
  <c r="L14" i="1" s="1"/>
  <c r="V17" i="1"/>
  <c r="U15" i="1"/>
  <c r="V15" i="1"/>
  <c r="U14" i="1"/>
  <c r="V14" i="1"/>
  <c r="U13" i="1"/>
  <c r="V13" i="1"/>
  <c r="U12" i="1"/>
  <c r="W12" i="1" s="1"/>
  <c r="V12" i="1"/>
  <c r="U11" i="1"/>
  <c r="V11" i="1"/>
  <c r="V10" i="1"/>
  <c r="U10" i="1"/>
  <c r="V9" i="1"/>
  <c r="V8" i="1"/>
  <c r="V7" i="1"/>
  <c r="U7" i="1"/>
  <c r="H20" i="1"/>
  <c r="H21" i="1"/>
  <c r="W79" i="5" l="1"/>
  <c r="W80" i="6"/>
  <c r="W78" i="6"/>
  <c r="W78" i="5"/>
  <c r="W80" i="5"/>
  <c r="W75" i="5"/>
  <c r="W79" i="6"/>
  <c r="W68" i="6"/>
  <c r="W64" i="6"/>
  <c r="W57" i="6"/>
  <c r="W51" i="6"/>
  <c r="W20" i="6"/>
  <c r="W26" i="6"/>
  <c r="W14" i="6"/>
  <c r="V36" i="6"/>
  <c r="W36" i="6" s="1"/>
  <c r="W22" i="6"/>
  <c r="W7" i="6"/>
  <c r="U28" i="6"/>
  <c r="W28" i="6" s="1"/>
  <c r="W61" i="6"/>
  <c r="W63" i="6"/>
  <c r="W52" i="6"/>
  <c r="W55" i="6"/>
  <c r="W65" i="6"/>
  <c r="W49" i="6"/>
  <c r="W43" i="6"/>
  <c r="W24" i="6"/>
  <c r="W44" i="6"/>
  <c r="W40" i="6"/>
  <c r="W41" i="6"/>
  <c r="W59" i="6"/>
  <c r="W39" i="6"/>
  <c r="W37" i="6"/>
  <c r="W15" i="6"/>
  <c r="W12" i="6"/>
  <c r="W6" i="6"/>
  <c r="W10" i="6"/>
  <c r="W13" i="6"/>
  <c r="W60" i="6"/>
  <c r="W34" i="6"/>
  <c r="W33" i="6"/>
  <c r="V56" i="6"/>
  <c r="W56" i="6" s="1"/>
  <c r="W66" i="6"/>
  <c r="V54" i="6"/>
  <c r="W54" i="6" s="1"/>
  <c r="V72" i="6"/>
  <c r="W72" i="6" s="1"/>
  <c r="W36" i="5"/>
  <c r="W20" i="5"/>
  <c r="W39" i="5"/>
  <c r="W61" i="5"/>
  <c r="W68" i="5"/>
  <c r="W48" i="5"/>
  <c r="W41" i="5"/>
  <c r="W32" i="5"/>
  <c r="W43" i="5"/>
  <c r="W11" i="5"/>
  <c r="W12" i="5"/>
  <c r="W66" i="5"/>
  <c r="W40" i="5"/>
  <c r="W72" i="5"/>
  <c r="U71" i="5"/>
  <c r="W71" i="5" s="1"/>
  <c r="W6" i="5"/>
  <c r="W55" i="5"/>
  <c r="W63" i="5"/>
  <c r="W59" i="5"/>
  <c r="W57" i="5"/>
  <c r="W52" i="5"/>
  <c r="W49" i="5"/>
  <c r="W47" i="5"/>
  <c r="W45" i="5"/>
  <c r="W37" i="5"/>
  <c r="W60" i="5"/>
  <c r="W33" i="5"/>
  <c r="W51" i="5"/>
  <c r="W44" i="5"/>
  <c r="W24" i="5"/>
  <c r="W26" i="5"/>
  <c r="W34" i="5"/>
  <c r="W14" i="5"/>
  <c r="W15" i="5"/>
  <c r="W10" i="5"/>
  <c r="W7" i="5"/>
  <c r="W13" i="5"/>
  <c r="W22" i="5"/>
  <c r="V56" i="5"/>
  <c r="W56" i="5" s="1"/>
  <c r="W64" i="5"/>
  <c r="V54" i="5"/>
  <c r="W54" i="5" s="1"/>
  <c r="U9" i="5"/>
  <c r="W9" i="5" s="1"/>
  <c r="W65" i="5"/>
  <c r="W59" i="4"/>
  <c r="W63" i="4"/>
  <c r="W34" i="4"/>
  <c r="W64" i="4"/>
  <c r="W66" i="4"/>
  <c r="M25" i="4"/>
  <c r="W11" i="4"/>
  <c r="W41" i="1"/>
  <c r="W40" i="1"/>
  <c r="W39" i="1"/>
  <c r="W49" i="1"/>
  <c r="W59" i="2"/>
  <c r="W55" i="2"/>
  <c r="W45" i="2"/>
  <c r="W44" i="2"/>
  <c r="W47" i="2"/>
  <c r="W43" i="2"/>
  <c r="W37" i="2"/>
  <c r="W36" i="2"/>
  <c r="W34" i="2"/>
  <c r="W33" i="2"/>
  <c r="W22" i="2"/>
  <c r="W14" i="2"/>
  <c r="W47" i="4"/>
  <c r="W40" i="4"/>
  <c r="W7" i="4"/>
  <c r="W24" i="4"/>
  <c r="W57" i="4"/>
  <c r="W52" i="4"/>
  <c r="W51" i="4"/>
  <c r="W48" i="4"/>
  <c r="W49" i="4"/>
  <c r="W41" i="4"/>
  <c r="W37" i="4"/>
  <c r="W36" i="4"/>
  <c r="W60" i="4"/>
  <c r="W45" i="4"/>
  <c r="W44" i="4"/>
  <c r="W26" i="4"/>
  <c r="W22" i="4"/>
  <c r="W39" i="4"/>
  <c r="W14" i="4"/>
  <c r="W10" i="4"/>
  <c r="W13" i="4"/>
  <c r="W12" i="4"/>
  <c r="W54" i="4"/>
  <c r="W33" i="4"/>
  <c r="W55" i="4"/>
  <c r="W17" i="4"/>
  <c r="U8" i="4"/>
  <c r="W8" i="4" s="1"/>
  <c r="V56" i="4"/>
  <c r="W56" i="4" s="1"/>
  <c r="W41" i="2"/>
  <c r="W40" i="2"/>
  <c r="W60" i="2"/>
  <c r="W57" i="2"/>
  <c r="W48" i="2"/>
  <c r="M25" i="2"/>
  <c r="W17" i="2"/>
  <c r="W7" i="2"/>
  <c r="W31" i="2"/>
  <c r="W29" i="2"/>
  <c r="W26" i="2"/>
  <c r="W15" i="2"/>
  <c r="W13" i="2"/>
  <c r="W12" i="2"/>
  <c r="W18" i="2"/>
  <c r="W11" i="2"/>
  <c r="W10" i="2"/>
  <c r="W24" i="2"/>
  <c r="W9" i="2"/>
  <c r="V56" i="2"/>
  <c r="W56" i="2" s="1"/>
  <c r="W8" i="2"/>
  <c r="W54" i="2"/>
  <c r="W10" i="1"/>
  <c r="W14" i="1"/>
  <c r="W15" i="1"/>
  <c r="W11" i="1"/>
  <c r="W7" i="1"/>
  <c r="W31" i="1"/>
  <c r="U9" i="1"/>
  <c r="W9" i="1" s="1"/>
  <c r="W26" i="1"/>
  <c r="W13" i="1"/>
  <c r="V20" i="1"/>
  <c r="W20" i="1" s="1"/>
  <c r="W29" i="1"/>
  <c r="W24" i="1"/>
  <c r="W17" i="1"/>
  <c r="W22" i="1"/>
  <c r="M25" i="1"/>
  <c r="U8" i="1" s="1"/>
  <c r="W8" i="1" s="1"/>
  <c r="U28" i="5" l="1"/>
  <c r="W28" i="5" s="1"/>
  <c r="U28" i="4"/>
  <c r="W28" i="4" s="1"/>
  <c r="U28" i="2"/>
  <c r="W28" i="2" s="1"/>
  <c r="U28" i="1"/>
  <c r="W28" i="1" s="1"/>
</calcChain>
</file>

<file path=xl/sharedStrings.xml><?xml version="1.0" encoding="utf-8"?>
<sst xmlns="http://schemas.openxmlformats.org/spreadsheetml/2006/main" count="1164" uniqueCount="208">
  <si>
    <t>Parameters</t>
  </si>
  <si>
    <t>Name</t>
  </si>
  <si>
    <t>Unit</t>
  </si>
  <si>
    <t>Value</t>
  </si>
  <si>
    <t>Variables</t>
  </si>
  <si>
    <t>UB</t>
  </si>
  <si>
    <t>LB</t>
  </si>
  <si>
    <t>Constraints</t>
  </si>
  <si>
    <t>LHS</t>
  </si>
  <si>
    <t>RHS</t>
  </si>
  <si>
    <t>Unit Balance</t>
  </si>
  <si>
    <t>Objective</t>
  </si>
  <si>
    <t>m.L</t>
  </si>
  <si>
    <t>cm</t>
  </si>
  <si>
    <t>m.C_feed_hyd_H2</t>
  </si>
  <si>
    <t>mol/cm3</t>
  </si>
  <si>
    <t>m.W_DFM</t>
  </si>
  <si>
    <t>m.Q_cap</t>
  </si>
  <si>
    <t>cm3/s</t>
  </si>
  <si>
    <t>m.N_block_size</t>
  </si>
  <si>
    <t>-</t>
  </si>
  <si>
    <t>m.T_K</t>
  </si>
  <si>
    <t>K</t>
  </si>
  <si>
    <t>m.P_Comp_in</t>
  </si>
  <si>
    <t>atm</t>
  </si>
  <si>
    <t>m.T_Cooler_in</t>
  </si>
  <si>
    <t>Pressure</t>
  </si>
  <si>
    <t>m.P_Comp_out</t>
  </si>
  <si>
    <t>m.T_Cooler_out</t>
  </si>
  <si>
    <t>m.R</t>
  </si>
  <si>
    <t>J/mol^-1K^-1</t>
  </si>
  <si>
    <t>m.kappa</t>
  </si>
  <si>
    <t>m.eta_comp</t>
  </si>
  <si>
    <t>m.C_p</t>
  </si>
  <si>
    <t>m.t_ads</t>
  </si>
  <si>
    <t>m.t_prg1</t>
  </si>
  <si>
    <t>m.t_prg2</t>
  </si>
  <si>
    <t>s</t>
  </si>
  <si>
    <t>m.Time_hyd</t>
  </si>
  <si>
    <t>m.F_gas</t>
  </si>
  <si>
    <t>m.Di</t>
  </si>
  <si>
    <t>Truth Models</t>
  </si>
  <si>
    <t>mol/s</t>
  </si>
  <si>
    <t>y1 (CO2_adsorbed)</t>
  </si>
  <si>
    <t>y2 (CH4_outlet)</t>
  </si>
  <si>
    <t>y3 (H2_outlet)</t>
  </si>
  <si>
    <t>y4 (CO2_outlet)</t>
  </si>
  <si>
    <t>m.DFM_n_total_outlet</t>
  </si>
  <si>
    <t>m.V_react</t>
  </si>
  <si>
    <t>m.F_gas_op</t>
  </si>
  <si>
    <t>m.H2_gas_op</t>
  </si>
  <si>
    <t>m.H2O_op</t>
  </si>
  <si>
    <t>m.total_cycle_time</t>
  </si>
  <si>
    <t>m.total_frontal_area</t>
  </si>
  <si>
    <t>m.N_blocks_num</t>
  </si>
  <si>
    <t>m.DFM_c1</t>
  </si>
  <si>
    <t>Violation</t>
  </si>
  <si>
    <t>mol/s=mol/s</t>
  </si>
  <si>
    <t>m.DFM_c2</t>
  </si>
  <si>
    <t>m.x_H2</t>
  </si>
  <si>
    <t>m.x_CH4</t>
  </si>
  <si>
    <t>m.DFM_c4</t>
  </si>
  <si>
    <t>m.DFM_c3</t>
  </si>
  <si>
    <t>cm3=cm3</t>
  </si>
  <si>
    <t>m.DFM_c5</t>
  </si>
  <si>
    <t>cm3</t>
  </si>
  <si>
    <t>cm3/s=cm3/s</t>
  </si>
  <si>
    <t>m.DFM_c6</t>
  </si>
  <si>
    <t>s=s</t>
  </si>
  <si>
    <t>m.DFM_c7</t>
  </si>
  <si>
    <t>m.DFM_c8</t>
  </si>
  <si>
    <t>m.DFM_c9</t>
  </si>
  <si>
    <t>m.total_channels</t>
  </si>
  <si>
    <t>cm2=cm2</t>
  </si>
  <si>
    <t>m.SOEL_c1</t>
  </si>
  <si>
    <t>m.SOEL_c2</t>
  </si>
  <si>
    <t>m.W_comp</t>
  </si>
  <si>
    <t>m.Q_cooler</t>
  </si>
  <si>
    <t>m.n_Compressor_out</t>
  </si>
  <si>
    <t>m.DFM_Compressor_c1</t>
  </si>
  <si>
    <t>m.GC_c1</t>
  </si>
  <si>
    <t>m.n_PSA_units</t>
  </si>
  <si>
    <t>y1(H2_feed)</t>
  </si>
  <si>
    <t>y2(total_gas_at_ads_inlet)</t>
  </si>
  <si>
    <t>y3(H2_out)</t>
  </si>
  <si>
    <t>y4(CH4_out)</t>
  </si>
  <si>
    <t>m.Compressor_PSA_c1</t>
  </si>
  <si>
    <t>m.PSA_c1</t>
  </si>
  <si>
    <t>m.PSA_c2</t>
  </si>
  <si>
    <t>m.PSA_c3</t>
  </si>
  <si>
    <t>m.PSA_purity</t>
  </si>
  <si>
    <t>m.PSA_recovery</t>
  </si>
  <si>
    <t>J/s=J/s</t>
  </si>
  <si>
    <t>m.SOEL_c3</t>
  </si>
  <si>
    <t>m.OPEX_SOEL</t>
  </si>
  <si>
    <t>m.CAPEX_SOEL</t>
  </si>
  <si>
    <t>kWh_cost</t>
  </si>
  <si>
    <t>W_cost</t>
  </si>
  <si>
    <t>SOEL_CAPEX</t>
  </si>
  <si>
    <t>SOEL_unit_cost</t>
  </si>
  <si>
    <t>Water_cost</t>
  </si>
  <si>
    <t>operating_hours</t>
  </si>
  <si>
    <t>m.SOEL_c4</t>
  </si>
  <si>
    <t>CEPCI_2025</t>
  </si>
  <si>
    <t>CEPCI_2007</t>
  </si>
  <si>
    <t>m.DFM_c10</t>
  </si>
  <si>
    <t>m.CAPEX_DFM</t>
  </si>
  <si>
    <t>m.OPEX_DFM</t>
  </si>
  <si>
    <t>m.DFM_c11</t>
  </si>
  <si>
    <t>DFM_unit_cost</t>
  </si>
  <si>
    <t>kg</t>
  </si>
  <si>
    <t>m.COE_comp</t>
  </si>
  <si>
    <t>m.Compressor_c2</t>
  </si>
  <si>
    <t>Comp_cost_ref</t>
  </si>
  <si>
    <t>W_comp_ref</t>
  </si>
  <si>
    <t>n_sf_ref</t>
  </si>
  <si>
    <t>F_m_comp</t>
  </si>
  <si>
    <t>CEPCI_2001</t>
  </si>
  <si>
    <t>m.CAPEX_COMP</t>
  </si>
  <si>
    <t>m.OPEX_COMP</t>
  </si>
  <si>
    <t>m.Compressor_c3</t>
  </si>
  <si>
    <t>m.Compressor_c4</t>
  </si>
  <si>
    <t>delta_T_lm</t>
  </si>
  <si>
    <t>U</t>
  </si>
  <si>
    <t>P_heat</t>
  </si>
  <si>
    <t>m.GC_c2</t>
  </si>
  <si>
    <t>m.A</t>
  </si>
  <si>
    <t>eta_rec</t>
  </si>
  <si>
    <t>m.GC_c3</t>
  </si>
  <si>
    <t>m.Q_recovered</t>
  </si>
  <si>
    <t>m.R_recovery</t>
  </si>
  <si>
    <t>m.GC_c4</t>
  </si>
  <si>
    <t>C_cost_ref</t>
  </si>
  <si>
    <t>A_C_ref</t>
  </si>
  <si>
    <t>n_sf_C</t>
  </si>
  <si>
    <t>F_m_C</t>
  </si>
  <si>
    <t>m.COE_C</t>
  </si>
  <si>
    <t>m.CAPEX_GC</t>
  </si>
  <si>
    <t>m.OPEX_GC</t>
  </si>
  <si>
    <t>m.GC_c5</t>
  </si>
  <si>
    <t>CEPCI_2018</t>
  </si>
  <si>
    <t>m.GC_c6</t>
  </si>
  <si>
    <t>m.PSA_c4</t>
  </si>
  <si>
    <t>C_bm_PSA</t>
  </si>
  <si>
    <t>Annualised_Adsorbent_Cost</t>
  </si>
  <si>
    <t>m.CAPEX_PSA</t>
  </si>
  <si>
    <t>m.PSA_c5</t>
  </si>
  <si>
    <t>m.OPEX_PSA</t>
  </si>
  <si>
    <t>m.Profit</t>
  </si>
  <si>
    <t>m.Profit_CH4</t>
  </si>
  <si>
    <t>m.Profit_H2</t>
  </si>
  <si>
    <t>m.Profit_Heat</t>
  </si>
  <si>
    <t>H2_price</t>
  </si>
  <si>
    <t>CH4_price</t>
  </si>
  <si>
    <t>m.CF_c2</t>
  </si>
  <si>
    <t>m.CF_c3</t>
  </si>
  <si>
    <t>m.CF_c4</t>
  </si>
  <si>
    <t>m.CF_c1</t>
  </si>
  <si>
    <t>ACCR</t>
  </si>
  <si>
    <t>m.CAPEX</t>
  </si>
  <si>
    <t>m.OPEX</t>
  </si>
  <si>
    <t>m.CF_c5</t>
  </si>
  <si>
    <t>m.CF_c6</t>
  </si>
  <si>
    <t>TAC</t>
  </si>
  <si>
    <t>m.CF_c7</t>
  </si>
  <si>
    <t>m.NPV</t>
  </si>
  <si>
    <t>interst rate</t>
  </si>
  <si>
    <t>Plant_life</t>
  </si>
  <si>
    <t>m.CF_c8</t>
  </si>
  <si>
    <t>m.CF_c9</t>
  </si>
  <si>
    <t>m.LCOH2</t>
  </si>
  <si>
    <t>M.LCOCH4</t>
  </si>
  <si>
    <t>m.CF_c10</t>
  </si>
  <si>
    <t>m.LCOCH4</t>
  </si>
  <si>
    <t>m.LCOG</t>
  </si>
  <si>
    <t>m.Compressor_c1</t>
  </si>
  <si>
    <t>m.CF_c11</t>
  </si>
  <si>
    <t>m.ROI</t>
  </si>
  <si>
    <t>H2</t>
  </si>
  <si>
    <t>kg/s</t>
  </si>
  <si>
    <t>kg/hr</t>
  </si>
  <si>
    <t>kg/yr</t>
  </si>
  <si>
    <t>In</t>
  </si>
  <si>
    <t>Out</t>
  </si>
  <si>
    <t>H2_ext_price</t>
  </si>
  <si>
    <t>m.H2_electrolyser</t>
  </si>
  <si>
    <t>m.H2_external</t>
  </si>
  <si>
    <t>m.H2_recycled</t>
  </si>
  <si>
    <t>m.DFM_c0</t>
  </si>
  <si>
    <t>m.Recycle_c1</t>
  </si>
  <si>
    <t>&lt;=</t>
  </si>
  <si>
    <t>m.External_H2_c1</t>
  </si>
  <si>
    <t>m.OPEX_H2_EXT</t>
  </si>
  <si>
    <t>m.OPEX_Y1</t>
  </si>
  <si>
    <t>m.OPEX_Y2</t>
  </si>
  <si>
    <t>m.CF_c6_0</t>
  </si>
  <si>
    <t>Q_H2_required</t>
  </si>
  <si>
    <t>m.Q_Furnace</t>
  </si>
  <si>
    <t>m.Ce_Furnace</t>
  </si>
  <si>
    <t>m.CAPEX_FURNACE</t>
  </si>
  <si>
    <t>m.OPEX_FURNACE</t>
  </si>
  <si>
    <t>m.Recycle_c2</t>
  </si>
  <si>
    <t>C_p_H2</t>
  </si>
  <si>
    <t>m.Furnace_c1</t>
  </si>
  <si>
    <t>m.Furnace_c2</t>
  </si>
  <si>
    <t>m.Furnace_c3</t>
  </si>
  <si>
    <t>m.Furnace_c4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</si>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</sst>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F509-FC22-412E-8BA9-E54BFDEB6E2B}">
  <dimension ref="B3:AA70"/>
  <sheetViews>
    <sheetView topLeftCell="I23" workbookViewId="0">
      <selection activeCell="M26" sqref="M26:M58"/>
    </sheetView>
  </sheetViews>
  <sheetFormatPr defaultRowHeight="14.5" x14ac:dyDescent="0.35"/>
  <cols>
    <col min="4" max="4" width="11.81640625" bestFit="1" customWidth="1"/>
    <col min="13" max="13" width="11.81640625" style="2" bestFit="1" customWidth="1"/>
    <col min="21" max="22" width="10.81640625" bestFit="1" customWidth="1"/>
  </cols>
  <sheetData>
    <row r="3" spans="2:27" x14ac:dyDescent="0.35">
      <c r="F3" t="s">
        <v>0</v>
      </c>
      <c r="J3" t="s">
        <v>4</v>
      </c>
      <c r="P3" t="s">
        <v>41</v>
      </c>
      <c r="T3" t="s">
        <v>7</v>
      </c>
      <c r="AA3" t="s">
        <v>11</v>
      </c>
    </row>
    <row r="4" spans="2:27" x14ac:dyDescent="0.35">
      <c r="B4" t="s">
        <v>1</v>
      </c>
      <c r="C4" t="s">
        <v>2</v>
      </c>
      <c r="D4" t="s">
        <v>3</v>
      </c>
      <c r="F4" t="s">
        <v>1</v>
      </c>
      <c r="G4" t="s">
        <v>2</v>
      </c>
      <c r="H4" t="s">
        <v>3</v>
      </c>
      <c r="J4" t="s">
        <v>1</v>
      </c>
      <c r="K4" t="s">
        <v>2</v>
      </c>
      <c r="L4" t="s">
        <v>5</v>
      </c>
      <c r="M4" s="2" t="s">
        <v>3</v>
      </c>
      <c r="N4" t="s">
        <v>6</v>
      </c>
      <c r="P4" t="s">
        <v>1</v>
      </c>
      <c r="Q4" t="s">
        <v>2</v>
      </c>
      <c r="R4" t="s">
        <v>3</v>
      </c>
      <c r="T4" t="s">
        <v>1</v>
      </c>
      <c r="U4" t="s">
        <v>8</v>
      </c>
      <c r="V4" t="s">
        <v>9</v>
      </c>
      <c r="W4" t="s">
        <v>56</v>
      </c>
      <c r="X4" t="s">
        <v>10</v>
      </c>
    </row>
    <row r="5" spans="2:27" x14ac:dyDescent="0.35">
      <c r="B5" t="s">
        <v>96</v>
      </c>
      <c r="D5">
        <v>0.05</v>
      </c>
      <c r="F5" t="s">
        <v>29</v>
      </c>
      <c r="G5" t="s">
        <v>30</v>
      </c>
      <c r="H5">
        <v>8.3140000000000001</v>
      </c>
    </row>
    <row r="6" spans="2:27" x14ac:dyDescent="0.35">
      <c r="B6" t="s">
        <v>97</v>
      </c>
      <c r="D6">
        <f>D5/3600</f>
        <v>1.388888888888889E-5</v>
      </c>
    </row>
    <row r="7" spans="2:27" x14ac:dyDescent="0.35">
      <c r="B7" t="s">
        <v>98</v>
      </c>
      <c r="D7">
        <v>4200</v>
      </c>
      <c r="F7" t="s">
        <v>12</v>
      </c>
      <c r="G7" t="s">
        <v>13</v>
      </c>
      <c r="H7">
        <v>5</v>
      </c>
      <c r="J7" t="s">
        <v>38</v>
      </c>
      <c r="K7" t="s">
        <v>37</v>
      </c>
      <c r="L7">
        <v>700</v>
      </c>
      <c r="M7" s="2">
        <v>375.99874430952298</v>
      </c>
      <c r="N7">
        <v>100</v>
      </c>
      <c r="P7" t="s">
        <v>43</v>
      </c>
      <c r="Q7" t="s">
        <v>42</v>
      </c>
      <c r="R7">
        <v>7.3118280000000003E-3</v>
      </c>
      <c r="T7" t="s">
        <v>55</v>
      </c>
      <c r="U7">
        <f>M10</f>
        <v>0.118159969</v>
      </c>
      <c r="V7">
        <f>R8+R9</f>
        <v>0.118159969</v>
      </c>
      <c r="W7">
        <f>ABS(U7-V7)</f>
        <v>0</v>
      </c>
      <c r="X7" t="s">
        <v>57</v>
      </c>
    </row>
    <row r="8" spans="2:27" x14ac:dyDescent="0.35">
      <c r="B8" t="s">
        <v>99</v>
      </c>
      <c r="D8">
        <f>269900</f>
        <v>269900</v>
      </c>
      <c r="F8" t="s">
        <v>14</v>
      </c>
      <c r="G8" t="s">
        <v>15</v>
      </c>
      <c r="H8">
        <v>0.03</v>
      </c>
      <c r="J8" t="s">
        <v>39</v>
      </c>
      <c r="K8" t="s">
        <v>18</v>
      </c>
      <c r="L8">
        <v>30</v>
      </c>
      <c r="M8" s="2">
        <v>20.000287733306902</v>
      </c>
      <c r="N8">
        <v>6</v>
      </c>
      <c r="P8" t="s">
        <v>44</v>
      </c>
      <c r="Q8" t="s">
        <v>42</v>
      </c>
      <c r="R8">
        <v>4.0661610000000004E-3</v>
      </c>
      <c r="T8" t="s">
        <v>58</v>
      </c>
      <c r="U8">
        <f>M10*M25</f>
        <v>4.066160999999997E-3</v>
      </c>
      <c r="V8">
        <f>R8</f>
        <v>4.0661610000000004E-3</v>
      </c>
      <c r="W8">
        <f t="shared" ref="W8:W60" si="0">ABS(U8-V8)</f>
        <v>3.4694469519536142E-18</v>
      </c>
      <c r="X8" t="s">
        <v>57</v>
      </c>
    </row>
    <row r="9" spans="2:27" x14ac:dyDescent="0.35">
      <c r="B9" t="s">
        <v>100</v>
      </c>
      <c r="D9">
        <f>1.1*1.72*0.001*0.01802*1000</f>
        <v>3.4093840000000007E-2</v>
      </c>
      <c r="F9" t="s">
        <v>16</v>
      </c>
      <c r="G9" t="s">
        <v>110</v>
      </c>
      <c r="H9">
        <v>0.01</v>
      </c>
      <c r="J9" t="s">
        <v>40</v>
      </c>
      <c r="K9" t="s">
        <v>13</v>
      </c>
      <c r="L9">
        <v>4</v>
      </c>
      <c r="M9" s="2">
        <v>2.5090987188643998</v>
      </c>
      <c r="N9">
        <v>0.8</v>
      </c>
      <c r="P9" t="s">
        <v>45</v>
      </c>
      <c r="Q9" t="s">
        <v>42</v>
      </c>
      <c r="R9">
        <v>0.114093808</v>
      </c>
      <c r="T9" t="s">
        <v>62</v>
      </c>
      <c r="U9">
        <f>M24*M10</f>
        <v>0.114093808</v>
      </c>
      <c r="V9">
        <f>R9</f>
        <v>0.114093808</v>
      </c>
      <c r="W9">
        <f t="shared" si="0"/>
        <v>0</v>
      </c>
      <c r="X9" t="s">
        <v>57</v>
      </c>
    </row>
    <row r="10" spans="2:27" x14ac:dyDescent="0.35">
      <c r="B10" t="s">
        <v>101</v>
      </c>
      <c r="D10">
        <f>330*24</f>
        <v>7920</v>
      </c>
      <c r="F10" t="s">
        <v>17</v>
      </c>
      <c r="G10" t="s">
        <v>18</v>
      </c>
      <c r="H10">
        <v>15000</v>
      </c>
      <c r="J10" t="s">
        <v>47</v>
      </c>
      <c r="K10" t="s">
        <v>42</v>
      </c>
      <c r="M10" s="2">
        <v>0.118159969</v>
      </c>
      <c r="N10" s="1">
        <v>9.9999999999999995E-7</v>
      </c>
      <c r="P10" t="s">
        <v>46</v>
      </c>
      <c r="Q10" t="s">
        <v>42</v>
      </c>
      <c r="R10">
        <v>2.2683499999999999E-4</v>
      </c>
      <c r="T10" t="s">
        <v>61</v>
      </c>
      <c r="U10">
        <f>M11</f>
        <v>24.71013729545237</v>
      </c>
      <c r="V10">
        <f>3.14*((M9^2)/4)*H7</f>
        <v>24.71013729545237</v>
      </c>
      <c r="W10">
        <f t="shared" si="0"/>
        <v>0</v>
      </c>
      <c r="X10" t="s">
        <v>63</v>
      </c>
    </row>
    <row r="11" spans="2:27" x14ac:dyDescent="0.35">
      <c r="B11" t="s">
        <v>103</v>
      </c>
      <c r="D11">
        <v>950</v>
      </c>
      <c r="F11" t="s">
        <v>19</v>
      </c>
      <c r="G11" t="s">
        <v>20</v>
      </c>
      <c r="H11">
        <v>100</v>
      </c>
      <c r="J11" t="s">
        <v>48</v>
      </c>
      <c r="K11" t="s">
        <v>65</v>
      </c>
      <c r="L11">
        <v>2.5</v>
      </c>
      <c r="M11" s="2">
        <v>24.71013729545237</v>
      </c>
      <c r="N11">
        <v>65</v>
      </c>
      <c r="P11" t="s">
        <v>47</v>
      </c>
      <c r="R11">
        <f>R8+R9</f>
        <v>0.118159969</v>
      </c>
      <c r="T11" t="s">
        <v>64</v>
      </c>
      <c r="U11">
        <f>M12</f>
        <v>40.248776253510457</v>
      </c>
      <c r="V11">
        <f>M8*(H12/298.15)</f>
        <v>40.248776253510457</v>
      </c>
      <c r="W11">
        <f t="shared" si="0"/>
        <v>0</v>
      </c>
      <c r="X11" t="s">
        <v>66</v>
      </c>
    </row>
    <row r="12" spans="2:27" x14ac:dyDescent="0.35">
      <c r="B12" t="s">
        <v>104</v>
      </c>
      <c r="D12">
        <v>509.7</v>
      </c>
      <c r="F12" t="s">
        <v>21</v>
      </c>
      <c r="G12" t="s">
        <v>22</v>
      </c>
      <c r="H12">
        <v>600</v>
      </c>
      <c r="J12" t="s">
        <v>49</v>
      </c>
      <c r="K12" t="s">
        <v>18</v>
      </c>
      <c r="L12">
        <v>10</v>
      </c>
      <c r="M12" s="2">
        <v>40.248776253510457</v>
      </c>
      <c r="N12">
        <v>68</v>
      </c>
      <c r="T12" t="s">
        <v>67</v>
      </c>
      <c r="U12">
        <f>M15</f>
        <v>525.99874430952298</v>
      </c>
      <c r="V12">
        <f>H14+H15+M7+H16</f>
        <v>525.99874430952298</v>
      </c>
      <c r="W12">
        <f t="shared" si="0"/>
        <v>0</v>
      </c>
      <c r="X12" t="s">
        <v>68</v>
      </c>
    </row>
    <row r="13" spans="2:27" x14ac:dyDescent="0.35">
      <c r="B13" t="s">
        <v>109</v>
      </c>
      <c r="D13">
        <v>156.19999999999999</v>
      </c>
      <c r="F13" t="s">
        <v>26</v>
      </c>
      <c r="G13" t="s">
        <v>24</v>
      </c>
      <c r="H13">
        <v>3</v>
      </c>
      <c r="J13" t="s">
        <v>50</v>
      </c>
      <c r="L13">
        <f>L12*L16*H8</f>
        <v>750</v>
      </c>
      <c r="M13" s="2">
        <v>905.58443736374318</v>
      </c>
      <c r="N13">
        <f>N12*N16*H8</f>
        <v>1020</v>
      </c>
      <c r="P13" t="s">
        <v>82</v>
      </c>
      <c r="Q13" t="s">
        <v>42</v>
      </c>
      <c r="R13">
        <v>1.3173539999999999</v>
      </c>
      <c r="T13" t="s">
        <v>69</v>
      </c>
      <c r="U13">
        <f>M16</f>
        <v>749.98921015622102</v>
      </c>
      <c r="V13">
        <f>H10/M8</f>
        <v>749.98921015622102</v>
      </c>
      <c r="W13">
        <f t="shared" si="0"/>
        <v>0</v>
      </c>
      <c r="X13" t="s">
        <v>20</v>
      </c>
    </row>
    <row r="14" spans="2:27" x14ac:dyDescent="0.35">
      <c r="B14" t="s">
        <v>113</v>
      </c>
      <c r="D14">
        <v>100000</v>
      </c>
      <c r="F14" t="s">
        <v>34</v>
      </c>
      <c r="G14" t="s">
        <v>37</v>
      </c>
      <c r="H14">
        <v>50</v>
      </c>
      <c r="J14" t="s">
        <v>51</v>
      </c>
      <c r="L14">
        <f>L13</f>
        <v>750</v>
      </c>
      <c r="M14" s="2">
        <v>905.58443736374318</v>
      </c>
      <c r="N14">
        <f>N13</f>
        <v>1020</v>
      </c>
      <c r="P14" t="s">
        <v>83</v>
      </c>
      <c r="Q14" t="s">
        <v>42</v>
      </c>
      <c r="R14">
        <v>1.3580970000000001</v>
      </c>
      <c r="T14" t="s">
        <v>70</v>
      </c>
      <c r="U14">
        <f>M17</f>
        <v>3709.8398522975267</v>
      </c>
      <c r="V14">
        <f>M16*(22/7)*((M9/2)^2)</f>
        <v>3709.8398522975267</v>
      </c>
      <c r="W14">
        <f t="shared" si="0"/>
        <v>0</v>
      </c>
      <c r="X14" t="s">
        <v>73</v>
      </c>
    </row>
    <row r="15" spans="2:27" x14ac:dyDescent="0.35">
      <c r="B15" t="s">
        <v>114</v>
      </c>
      <c r="D15">
        <v>0.1</v>
      </c>
      <c r="F15" t="s">
        <v>35</v>
      </c>
      <c r="G15" t="s">
        <v>37</v>
      </c>
      <c r="H15">
        <v>50</v>
      </c>
      <c r="J15" t="s">
        <v>52</v>
      </c>
      <c r="L15">
        <v>850</v>
      </c>
      <c r="M15" s="2">
        <v>525.99874430952298</v>
      </c>
      <c r="N15">
        <v>250</v>
      </c>
      <c r="P15" t="s">
        <v>84</v>
      </c>
      <c r="Q15" t="s">
        <v>42</v>
      </c>
      <c r="R15">
        <v>1.1871700000000001</v>
      </c>
      <c r="T15" t="s">
        <v>71</v>
      </c>
      <c r="U15">
        <f>M18</f>
        <v>7.4998921015622102</v>
      </c>
      <c r="V15">
        <f>M16/H11</f>
        <v>7.4998921015622102</v>
      </c>
      <c r="W15">
        <f t="shared" si="0"/>
        <v>0</v>
      </c>
      <c r="X15" t="s">
        <v>20</v>
      </c>
    </row>
    <row r="16" spans="2:27" x14ac:dyDescent="0.35">
      <c r="B16" t="s">
        <v>115</v>
      </c>
      <c r="D16">
        <v>0.7</v>
      </c>
      <c r="F16" t="s">
        <v>36</v>
      </c>
      <c r="G16" t="s">
        <v>37</v>
      </c>
      <c r="H16">
        <v>50</v>
      </c>
      <c r="J16" t="s">
        <v>72</v>
      </c>
      <c r="L16">
        <v>2500</v>
      </c>
      <c r="M16" s="2">
        <v>749.98921015622102</v>
      </c>
      <c r="N16">
        <v>500</v>
      </c>
      <c r="P16" t="s">
        <v>85</v>
      </c>
      <c r="Q16" t="s">
        <v>42</v>
      </c>
      <c r="R16">
        <v>3.3600000000000001E-3</v>
      </c>
    </row>
    <row r="17" spans="2:24" x14ac:dyDescent="0.35">
      <c r="B17" t="s">
        <v>116</v>
      </c>
      <c r="D17">
        <v>2.5</v>
      </c>
      <c r="J17" t="s">
        <v>53</v>
      </c>
      <c r="L17">
        <v>200</v>
      </c>
      <c r="M17" s="2">
        <v>3709.8398522975267</v>
      </c>
      <c r="N17">
        <v>35000</v>
      </c>
      <c r="T17" t="s">
        <v>74</v>
      </c>
      <c r="U17">
        <f>M13</f>
        <v>905.58443736374318</v>
      </c>
      <c r="V17">
        <f>M12*M16*H8</f>
        <v>905.58443736374318</v>
      </c>
      <c r="W17">
        <f t="shared" si="0"/>
        <v>0</v>
      </c>
      <c r="X17" t="s">
        <v>57</v>
      </c>
    </row>
    <row r="18" spans="2:24" x14ac:dyDescent="0.35">
      <c r="B18" t="s">
        <v>117</v>
      </c>
      <c r="D18">
        <v>394.3</v>
      </c>
      <c r="J18" t="s">
        <v>54</v>
      </c>
      <c r="L18">
        <v>25</v>
      </c>
      <c r="M18" s="2">
        <v>7.4998921015622102</v>
      </c>
      <c r="N18">
        <v>5</v>
      </c>
      <c r="T18" t="s">
        <v>75</v>
      </c>
      <c r="U18">
        <f>M14</f>
        <v>905.58443736374318</v>
      </c>
      <c r="V18">
        <f>U17</f>
        <v>905.58443736374318</v>
      </c>
      <c r="W18">
        <f t="shared" si="0"/>
        <v>0</v>
      </c>
      <c r="X18" t="s">
        <v>57</v>
      </c>
    </row>
    <row r="19" spans="2:24" x14ac:dyDescent="0.35">
      <c r="B19" t="s">
        <v>122</v>
      </c>
      <c r="D19">
        <v>70.1643720709327</v>
      </c>
    </row>
    <row r="20" spans="2:24" x14ac:dyDescent="0.35">
      <c r="B20" t="s">
        <v>123</v>
      </c>
      <c r="D20">
        <v>200</v>
      </c>
      <c r="F20" t="s">
        <v>23</v>
      </c>
      <c r="G20" t="s">
        <v>24</v>
      </c>
      <c r="H20">
        <f>H13</f>
        <v>3</v>
      </c>
      <c r="J20" t="s">
        <v>76</v>
      </c>
      <c r="M20" s="2">
        <v>0.67120285377125799</v>
      </c>
      <c r="N20" s="1">
        <v>9.9999999999999995E-7</v>
      </c>
      <c r="T20" t="s">
        <v>79</v>
      </c>
      <c r="U20">
        <f>M22</f>
        <v>88.618701822393561</v>
      </c>
      <c r="V20">
        <f>M10*M16</f>
        <v>88.618701822393561</v>
      </c>
      <c r="W20">
        <f t="shared" si="0"/>
        <v>0</v>
      </c>
      <c r="X20" t="s">
        <v>57</v>
      </c>
    </row>
    <row r="21" spans="2:24" x14ac:dyDescent="0.35">
      <c r="B21" t="s">
        <v>124</v>
      </c>
      <c r="D21">
        <v>1.4999999999999999E-2</v>
      </c>
      <c r="F21" t="s">
        <v>25</v>
      </c>
      <c r="G21" t="s">
        <v>22</v>
      </c>
      <c r="H21">
        <f>H12</f>
        <v>600</v>
      </c>
      <c r="J21" t="s">
        <v>77</v>
      </c>
      <c r="M21" s="2">
        <v>0.71432876977976789</v>
      </c>
      <c r="N21" s="1">
        <v>9.9999999999999995E-7</v>
      </c>
    </row>
    <row r="22" spans="2:24" x14ac:dyDescent="0.35">
      <c r="B22" t="s">
        <v>127</v>
      </c>
      <c r="D22">
        <v>0.85</v>
      </c>
      <c r="F22" t="s">
        <v>27</v>
      </c>
      <c r="G22" t="s">
        <v>24</v>
      </c>
      <c r="H22">
        <v>9</v>
      </c>
      <c r="J22" t="s">
        <v>78</v>
      </c>
      <c r="M22" s="2">
        <v>88.618701822393561</v>
      </c>
      <c r="N22" s="1">
        <v>9.9999999999999995E-7</v>
      </c>
      <c r="T22" t="s">
        <v>79</v>
      </c>
      <c r="U22">
        <f>M20</f>
        <v>0.67120285377125799</v>
      </c>
      <c r="V22">
        <f>(M22*H5*H21/H25)*(H24/(H24-1))*((H22/H20)^((H24-1)/H24)-1)/1000000</f>
        <v>0.67120285377125799</v>
      </c>
      <c r="W22">
        <f t="shared" si="0"/>
        <v>0</v>
      </c>
    </row>
    <row r="23" spans="2:24" x14ac:dyDescent="0.35">
      <c r="B23" t="s">
        <v>132</v>
      </c>
      <c r="D23">
        <v>50000</v>
      </c>
      <c r="F23" t="s">
        <v>28</v>
      </c>
      <c r="G23" t="s">
        <v>22</v>
      </c>
      <c r="H23">
        <v>323</v>
      </c>
    </row>
    <row r="24" spans="2:24" x14ac:dyDescent="0.35">
      <c r="B24" t="s">
        <v>133</v>
      </c>
      <c r="D24">
        <v>50</v>
      </c>
      <c r="F24" t="s">
        <v>31</v>
      </c>
      <c r="G24" t="s">
        <v>20</v>
      </c>
      <c r="H24">
        <v>1.4</v>
      </c>
      <c r="J24" t="s">
        <v>59</v>
      </c>
      <c r="K24" t="s">
        <v>20</v>
      </c>
      <c r="L24">
        <v>1</v>
      </c>
      <c r="M24" s="2">
        <f>R9/(R9+R8)</f>
        <v>0.96558766023372944</v>
      </c>
      <c r="N24" s="1">
        <v>9.9999999999999995E-7</v>
      </c>
      <c r="O24">
        <v>0.96558376404549395</v>
      </c>
      <c r="T24" t="s">
        <v>80</v>
      </c>
      <c r="U24">
        <f>M21</f>
        <v>0.71432876977976789</v>
      </c>
      <c r="V24">
        <f>M22*H26*(H21-H23)/1000000</f>
        <v>0.71432876977976789</v>
      </c>
      <c r="W24">
        <f t="shared" si="0"/>
        <v>0</v>
      </c>
      <c r="X24" t="s">
        <v>92</v>
      </c>
    </row>
    <row r="25" spans="2:24" x14ac:dyDescent="0.35">
      <c r="B25" t="s">
        <v>134</v>
      </c>
      <c r="D25">
        <v>0.6</v>
      </c>
      <c r="F25" t="s">
        <v>32</v>
      </c>
      <c r="G25" t="s">
        <v>20</v>
      </c>
      <c r="H25">
        <v>0.85</v>
      </c>
      <c r="J25" t="s">
        <v>60</v>
      </c>
      <c r="K25" t="s">
        <v>20</v>
      </c>
      <c r="L25">
        <v>1</v>
      </c>
      <c r="M25" s="2">
        <f>1-M24</f>
        <v>3.4412339766270561E-2</v>
      </c>
      <c r="N25" s="1">
        <v>9.9999999999999995E-7</v>
      </c>
      <c r="O25">
        <v>3.4416235954505797E-2</v>
      </c>
    </row>
    <row r="26" spans="2:24" x14ac:dyDescent="0.35">
      <c r="B26" t="s">
        <v>135</v>
      </c>
      <c r="D26">
        <v>2</v>
      </c>
      <c r="F26" t="s">
        <v>33</v>
      </c>
      <c r="G26" t="s">
        <v>30</v>
      </c>
      <c r="H26">
        <v>29.1</v>
      </c>
      <c r="J26" t="s">
        <v>81</v>
      </c>
      <c r="M26" s="2">
        <v>65.252115145231571</v>
      </c>
      <c r="N26" s="1">
        <v>9.9999999999999995E-7</v>
      </c>
      <c r="T26" t="s">
        <v>86</v>
      </c>
      <c r="U26">
        <f>M26*R14</f>
        <v>88.618701822393561</v>
      </c>
      <c r="V26">
        <f>M22</f>
        <v>88.618701822393561</v>
      </c>
      <c r="W26">
        <f t="shared" si="0"/>
        <v>0</v>
      </c>
      <c r="X26" t="s">
        <v>57</v>
      </c>
    </row>
    <row r="27" spans="2:24" x14ac:dyDescent="0.35">
      <c r="B27" t="s">
        <v>140</v>
      </c>
      <c r="D27">
        <v>603.1</v>
      </c>
      <c r="J27" t="s">
        <v>90</v>
      </c>
      <c r="L27">
        <v>1</v>
      </c>
      <c r="M27" s="2">
        <v>0.99717772756671397</v>
      </c>
      <c r="N27" s="1">
        <v>9.9999999999999995E-7</v>
      </c>
      <c r="V27">
        <f>V26/R14</f>
        <v>65.252115145231571</v>
      </c>
    </row>
    <row r="28" spans="2:24" x14ac:dyDescent="0.35">
      <c r="B28" t="s">
        <v>143</v>
      </c>
      <c r="D28">
        <v>7072.6943346505104</v>
      </c>
      <c r="J28" t="s">
        <v>91</v>
      </c>
      <c r="L28">
        <v>1</v>
      </c>
      <c r="M28" s="2">
        <v>0.90117766371074148</v>
      </c>
      <c r="N28" s="1">
        <v>9.9999999999999995E-7</v>
      </c>
      <c r="T28" t="s">
        <v>87</v>
      </c>
      <c r="U28">
        <f>M24+M25</f>
        <v>1</v>
      </c>
      <c r="V28">
        <f>1</f>
        <v>1</v>
      </c>
      <c r="W28">
        <f t="shared" si="0"/>
        <v>0</v>
      </c>
      <c r="X28" t="s">
        <v>20</v>
      </c>
    </row>
    <row r="29" spans="2:24" x14ac:dyDescent="0.35">
      <c r="B29" t="s">
        <v>144</v>
      </c>
      <c r="D29">
        <v>157.929826191367</v>
      </c>
      <c r="T29" t="s">
        <v>88</v>
      </c>
      <c r="U29">
        <f>M27*(R15+R16)</f>
        <v>1.1871700000000001</v>
      </c>
      <c r="V29">
        <f>R15</f>
        <v>1.1871700000000001</v>
      </c>
      <c r="W29">
        <f t="shared" si="0"/>
        <v>0</v>
      </c>
      <c r="X29" t="s">
        <v>42</v>
      </c>
    </row>
    <row r="30" spans="2:24" x14ac:dyDescent="0.35">
      <c r="B30" t="s">
        <v>152</v>
      </c>
      <c r="D30">
        <v>10</v>
      </c>
      <c r="V30">
        <f>R15/(R15+R16)</f>
        <v>0.99717772756671397</v>
      </c>
    </row>
    <row r="31" spans="2:24" x14ac:dyDescent="0.35">
      <c r="B31" t="s">
        <v>153</v>
      </c>
      <c r="D31">
        <v>10</v>
      </c>
      <c r="J31" t="s">
        <v>94</v>
      </c>
      <c r="M31" s="2">
        <v>97669530.648470938</v>
      </c>
      <c r="N31" s="1">
        <v>9.9999999999999995E-7</v>
      </c>
      <c r="T31" t="s">
        <v>89</v>
      </c>
      <c r="U31">
        <f>M28*R13</f>
        <v>1.1871700000000001</v>
      </c>
      <c r="V31">
        <f>R15</f>
        <v>1.1871700000000001</v>
      </c>
      <c r="W31">
        <f t="shared" si="0"/>
        <v>0</v>
      </c>
      <c r="X31" t="s">
        <v>42</v>
      </c>
    </row>
    <row r="32" spans="2:24" x14ac:dyDescent="0.35">
      <c r="B32" t="s">
        <v>158</v>
      </c>
      <c r="D32">
        <v>4.99955553670135E-2</v>
      </c>
      <c r="J32" t="s">
        <v>95</v>
      </c>
      <c r="M32" s="2">
        <v>1026552406.5067919</v>
      </c>
      <c r="N32" s="1">
        <v>9.9999999999999995E-7</v>
      </c>
      <c r="V32">
        <f>R15/R13</f>
        <v>0.90117766371074148</v>
      </c>
    </row>
    <row r="33" spans="2:23" x14ac:dyDescent="0.35">
      <c r="B33" t="s">
        <v>166</v>
      </c>
      <c r="D33">
        <v>9.9999999999999998E-13</v>
      </c>
      <c r="T33" t="s">
        <v>93</v>
      </c>
      <c r="U33">
        <f>M31</f>
        <v>97669530.648470938</v>
      </c>
      <c r="V33">
        <f>((M13*3.6*D6*D8)+(M14*3.6*D9))*D10</f>
        <v>97669530.648470938</v>
      </c>
      <c r="W33">
        <f t="shared" si="0"/>
        <v>0</v>
      </c>
    </row>
    <row r="34" spans="2:23" x14ac:dyDescent="0.35">
      <c r="B34" t="s">
        <v>167</v>
      </c>
      <c r="D34">
        <v>20</v>
      </c>
      <c r="J34" t="s">
        <v>106</v>
      </c>
      <c r="L34">
        <f>2*((53000 + (28000 * ((N11*0.000001*H11)^0.8))) * L18 * D11/D12)</f>
        <v>4985617.2880248176</v>
      </c>
      <c r="M34" s="2">
        <v>1488158.8247053283</v>
      </c>
      <c r="N34">
        <f>2*((53000 + (28000 * ((L11*0.000001*H11)^0.8))) * N18 * D11/D12)</f>
        <v>988521.3423542981</v>
      </c>
      <c r="T34" t="s">
        <v>102</v>
      </c>
      <c r="U34">
        <f>M32</f>
        <v>1026552406.5067919</v>
      </c>
      <c r="V34">
        <f>M13*3.6*D8*D7/3600</f>
        <v>1026552406.5067919</v>
      </c>
      <c r="W34">
        <f t="shared" si="0"/>
        <v>0</v>
      </c>
    </row>
    <row r="35" spans="2:23" x14ac:dyDescent="0.35">
      <c r="J35" t="s">
        <v>107</v>
      </c>
      <c r="L35">
        <f>(0.18*M34) + (D13*H9*L16/10)</f>
        <v>268259.0884469591</v>
      </c>
      <c r="M35" s="2">
        <v>267985.73676158552</v>
      </c>
      <c r="N35">
        <f>(0.18*M34) + (D13*H9*N16/10)</f>
        <v>267946.68844695907</v>
      </c>
    </row>
    <row r="36" spans="2:23" x14ac:dyDescent="0.35">
      <c r="T36" t="s">
        <v>105</v>
      </c>
      <c r="U36">
        <f>M34</f>
        <v>1488158.8247053283</v>
      </c>
      <c r="V36">
        <f>2*((53000 + (28000 * ((M11*0.000001*H11)^0.8))) * M18 * D11/D12)</f>
        <v>1488158.8247053283</v>
      </c>
      <c r="W36">
        <f t="shared" si="0"/>
        <v>0</v>
      </c>
    </row>
    <row r="37" spans="2:23" x14ac:dyDescent="0.35">
      <c r="J37" t="s">
        <v>111</v>
      </c>
      <c r="M37" s="2">
        <v>947845.74473677902</v>
      </c>
      <c r="T37" t="s">
        <v>108</v>
      </c>
      <c r="U37">
        <f>M35</f>
        <v>267985.73676158552</v>
      </c>
      <c r="V37">
        <f>(0.18*M34) + (D13*H9*M16/10)</f>
        <v>267985.73676158552</v>
      </c>
      <c r="W37">
        <f t="shared" si="0"/>
        <v>0</v>
      </c>
    </row>
    <row r="38" spans="2:23" x14ac:dyDescent="0.35">
      <c r="J38" t="s">
        <v>118</v>
      </c>
      <c r="M38" s="2">
        <v>2694737.7120211236</v>
      </c>
    </row>
    <row r="39" spans="2:23" x14ac:dyDescent="0.35">
      <c r="J39" t="s">
        <v>119</v>
      </c>
      <c r="M39" s="2">
        <v>485052.78816380224</v>
      </c>
      <c r="T39" t="s">
        <v>112</v>
      </c>
      <c r="U39">
        <f>M37</f>
        <v>947845.74473677902</v>
      </c>
      <c r="V39">
        <f>D14*((M20/D15)^D16)*D17</f>
        <v>947845.74473677902</v>
      </c>
      <c r="W39">
        <f t="shared" si="0"/>
        <v>0</v>
      </c>
    </row>
    <row r="40" spans="2:23" x14ac:dyDescent="0.35">
      <c r="T40" t="s">
        <v>120</v>
      </c>
      <c r="U40">
        <f>M38</f>
        <v>2694737.7120211236</v>
      </c>
      <c r="V40">
        <f>1.18*M37*(D11/D18)</f>
        <v>2694737.7120211236</v>
      </c>
      <c r="W40">
        <f t="shared" si="0"/>
        <v>0</v>
      </c>
    </row>
    <row r="41" spans="2:23" x14ac:dyDescent="0.35">
      <c r="T41" t="s">
        <v>121</v>
      </c>
      <c r="U41">
        <f>M39</f>
        <v>485052.78816380224</v>
      </c>
      <c r="V41">
        <f>0.18*M38</f>
        <v>485052.78816380224</v>
      </c>
      <c r="W41">
        <f t="shared" si="0"/>
        <v>0</v>
      </c>
    </row>
    <row r="42" spans="2:23" x14ac:dyDescent="0.35">
      <c r="J42" t="s">
        <v>126</v>
      </c>
      <c r="M42" s="2">
        <v>50.903952297728608</v>
      </c>
    </row>
    <row r="43" spans="2:23" x14ac:dyDescent="0.35">
      <c r="J43" t="s">
        <v>129</v>
      </c>
      <c r="M43" s="2">
        <v>0.60717945431280274</v>
      </c>
      <c r="T43" t="s">
        <v>125</v>
      </c>
      <c r="U43">
        <f>M42</f>
        <v>50.903952297728608</v>
      </c>
      <c r="V43">
        <f>M21*1000000/(D20*D19)</f>
        <v>50.903952297728608</v>
      </c>
      <c r="W43">
        <f t="shared" si="0"/>
        <v>0</v>
      </c>
    </row>
    <row r="44" spans="2:23" x14ac:dyDescent="0.35">
      <c r="J44" t="s">
        <v>130</v>
      </c>
      <c r="M44" s="2">
        <v>32.787690532891347</v>
      </c>
      <c r="T44" t="s">
        <v>128</v>
      </c>
      <c r="U44">
        <f>M43</f>
        <v>0.60717945431280274</v>
      </c>
      <c r="V44">
        <f>M21*D22</f>
        <v>0.60717945431280274</v>
      </c>
      <c r="W44">
        <f t="shared" si="0"/>
        <v>0</v>
      </c>
    </row>
    <row r="45" spans="2:23" x14ac:dyDescent="0.35">
      <c r="J45" t="s">
        <v>136</v>
      </c>
      <c r="M45" s="2">
        <v>101080.85327119712</v>
      </c>
      <c r="T45" t="s">
        <v>131</v>
      </c>
      <c r="U45">
        <f>M44</f>
        <v>32.787690532891347</v>
      </c>
      <c r="V45">
        <f>M43*3600*D21</f>
        <v>32.787690532891347</v>
      </c>
      <c r="W45">
        <f t="shared" si="0"/>
        <v>0</v>
      </c>
    </row>
    <row r="46" spans="2:23" x14ac:dyDescent="0.35">
      <c r="J46" t="s">
        <v>137</v>
      </c>
      <c r="M46" s="2">
        <v>187882.00384183708</v>
      </c>
    </row>
    <row r="47" spans="2:23" x14ac:dyDescent="0.35">
      <c r="J47" t="s">
        <v>138</v>
      </c>
      <c r="M47" s="2">
        <v>33818.760691530675</v>
      </c>
      <c r="T47" t="s">
        <v>131</v>
      </c>
      <c r="U47">
        <f>M45</f>
        <v>101080.85327119712</v>
      </c>
      <c r="V47">
        <f>D23*((M42/D24)^D25)*D26</f>
        <v>101080.85327119712</v>
      </c>
      <c r="W47">
        <f t="shared" si="0"/>
        <v>0</v>
      </c>
    </row>
    <row r="48" spans="2:23" x14ac:dyDescent="0.35">
      <c r="J48" t="s">
        <v>145</v>
      </c>
      <c r="M48" s="2">
        <v>1312073.9670052009</v>
      </c>
      <c r="T48" t="s">
        <v>139</v>
      </c>
      <c r="U48">
        <f>M46</f>
        <v>187882.00384183708</v>
      </c>
      <c r="V48">
        <f>1.18*M45*D11/D27</f>
        <v>187882.00384183708</v>
      </c>
      <c r="W48">
        <f t="shared" si="0"/>
        <v>0</v>
      </c>
    </row>
    <row r="49" spans="10:23" x14ac:dyDescent="0.35">
      <c r="J49" t="s">
        <v>147</v>
      </c>
      <c r="M49" s="2">
        <v>246478.56926444164</v>
      </c>
      <c r="T49" t="s">
        <v>141</v>
      </c>
      <c r="U49">
        <f>M47</f>
        <v>33818.760691530675</v>
      </c>
      <c r="V49">
        <f>0.18*M46</f>
        <v>33818.760691530675</v>
      </c>
      <c r="W49">
        <f t="shared" si="0"/>
        <v>0</v>
      </c>
    </row>
    <row r="51" spans="10:23" x14ac:dyDescent="0.35">
      <c r="T51" t="s">
        <v>142</v>
      </c>
      <c r="U51">
        <f>M48</f>
        <v>1312073.9670052009</v>
      </c>
      <c r="V51">
        <f>1.18*M26*D28*D11/D18</f>
        <v>1312073.9670052009</v>
      </c>
      <c r="W51">
        <f t="shared" si="0"/>
        <v>0</v>
      </c>
    </row>
    <row r="52" spans="10:23" x14ac:dyDescent="0.35">
      <c r="J52" t="s">
        <v>148</v>
      </c>
      <c r="M52" s="2">
        <v>22409111.844595738</v>
      </c>
      <c r="T52" t="s">
        <v>146</v>
      </c>
      <c r="U52">
        <f>M49</f>
        <v>246478.56926444164</v>
      </c>
      <c r="V52">
        <f>(0.18*M48)+(D29*M26)</f>
        <v>246478.56926444164</v>
      </c>
      <c r="W52">
        <f t="shared" si="0"/>
        <v>0</v>
      </c>
    </row>
    <row r="53" spans="10:23" x14ac:dyDescent="0.35">
      <c r="J53" t="s">
        <v>149</v>
      </c>
      <c r="M53" s="2">
        <v>62511.735115900323</v>
      </c>
    </row>
    <row r="54" spans="10:23" x14ac:dyDescent="0.35">
      <c r="J54" t="s">
        <v>150</v>
      </c>
      <c r="M54" s="2">
        <v>22086921.600459337</v>
      </c>
      <c r="T54" t="s">
        <v>154</v>
      </c>
      <c r="U54">
        <f>M53</f>
        <v>62511.735115900323</v>
      </c>
      <c r="V54">
        <f>R16*3.6*M26*D31*D10</f>
        <v>62511.735115900323</v>
      </c>
      <c r="W54">
        <f t="shared" si="0"/>
        <v>0</v>
      </c>
    </row>
    <row r="55" spans="10:23" x14ac:dyDescent="0.35">
      <c r="J55" t="s">
        <v>151</v>
      </c>
      <c r="M55" s="2">
        <v>259678.50902049948</v>
      </c>
      <c r="T55" t="s">
        <v>155</v>
      </c>
      <c r="U55">
        <f>M54</f>
        <v>22086921.600459337</v>
      </c>
      <c r="V55">
        <f>R15*3.6*M26*D30*D10</f>
        <v>22086921.600459337</v>
      </c>
      <c r="W55">
        <f t="shared" si="0"/>
        <v>0</v>
      </c>
    </row>
    <row r="56" spans="10:23" x14ac:dyDescent="0.35">
      <c r="T56" t="s">
        <v>156</v>
      </c>
      <c r="U56">
        <f>M55</f>
        <v>259678.50902049948</v>
      </c>
      <c r="V56">
        <f>M44*D10</f>
        <v>259678.50902049948</v>
      </c>
      <c r="W56">
        <f t="shared" si="0"/>
        <v>0</v>
      </c>
    </row>
    <row r="57" spans="10:23" x14ac:dyDescent="0.35">
      <c r="J57" t="s">
        <v>159</v>
      </c>
      <c r="M57" s="2">
        <v>51607175.043836236</v>
      </c>
      <c r="T57" t="s">
        <v>157</v>
      </c>
      <c r="U57">
        <f>M52</f>
        <v>22409111.844595738</v>
      </c>
      <c r="V57">
        <f>M53+M54+M55</f>
        <v>22409111.844595738</v>
      </c>
      <c r="W57">
        <f t="shared" si="0"/>
        <v>0</v>
      </c>
    </row>
    <row r="58" spans="10:23" x14ac:dyDescent="0.35">
      <c r="J58" t="s">
        <v>160</v>
      </c>
      <c r="M58" s="2">
        <v>98702866.503352284</v>
      </c>
    </row>
    <row r="59" spans="10:23" x14ac:dyDescent="0.35">
      <c r="T59" t="s">
        <v>161</v>
      </c>
      <c r="U59">
        <f>M57</f>
        <v>51607175.043836236</v>
      </c>
      <c r="V59">
        <f>(M32+M34+M38+M46+M48)*D32</f>
        <v>51607175.043836236</v>
      </c>
      <c r="W59">
        <f t="shared" si="0"/>
        <v>0</v>
      </c>
    </row>
    <row r="60" spans="10:23" x14ac:dyDescent="0.35">
      <c r="T60" t="s">
        <v>162</v>
      </c>
      <c r="U60">
        <f>M58</f>
        <v>98702866.503352284</v>
      </c>
      <c r="V60">
        <f>M31+M35+M39+M47+M49</f>
        <v>98702866.503352284</v>
      </c>
      <c r="W60">
        <f t="shared" si="0"/>
        <v>0</v>
      </c>
    </row>
    <row r="62" spans="10:23" x14ac:dyDescent="0.35">
      <c r="J62" t="s">
        <v>163</v>
      </c>
      <c r="M62" s="2">
        <f>M58+M57-M52</f>
        <v>127900929.70259279</v>
      </c>
    </row>
    <row r="63" spans="10:23" x14ac:dyDescent="0.35">
      <c r="T63" t="s">
        <v>164</v>
      </c>
      <c r="U63">
        <f>M65</f>
        <v>-2558246003.3738599</v>
      </c>
      <c r="V63">
        <f>((M52-M58)/D33)*(1-(1/((1+D33)^D34)))-(M57/D32)</f>
        <v>-2558246003.3738599</v>
      </c>
      <c r="W63">
        <f t="shared" ref="W63:W66" si="1">ABS(U63-V63)</f>
        <v>0</v>
      </c>
    </row>
    <row r="64" spans="10:23" x14ac:dyDescent="0.35">
      <c r="T64" t="s">
        <v>168</v>
      </c>
      <c r="U64">
        <f>M66</f>
        <v>33.756878257405333</v>
      </c>
      <c r="V64">
        <f>(M57+M58)/(R15*3.6*M26*D10*(2.016))</f>
        <v>33.756878257405333</v>
      </c>
      <c r="W64">
        <f t="shared" si="1"/>
        <v>0</v>
      </c>
    </row>
    <row r="65" spans="10:23" x14ac:dyDescent="0.35">
      <c r="J65" t="s">
        <v>165</v>
      </c>
      <c r="M65" s="2">
        <v>-2558246003.3738599</v>
      </c>
      <c r="T65" t="s">
        <v>169</v>
      </c>
      <c r="U65">
        <f>M67</f>
        <v>1498.7902447488834</v>
      </c>
      <c r="V65">
        <f>(M57+M58)/(R16*3.6*M26*D10*(16.043))</f>
        <v>1498.7902447488834</v>
      </c>
      <c r="W65">
        <f t="shared" si="1"/>
        <v>0</v>
      </c>
    </row>
    <row r="66" spans="10:23" x14ac:dyDescent="0.35">
      <c r="J66" t="s">
        <v>170</v>
      </c>
      <c r="M66" s="2">
        <v>33.756878257405333</v>
      </c>
      <c r="T66" t="s">
        <v>172</v>
      </c>
      <c r="U66">
        <f>M68</f>
        <v>33.013327333209304</v>
      </c>
      <c r="V66">
        <f>(M57+M58)/((R15*3.6*M26*D10*(2.016))+(R16*3.6*M26*D10*(16.043)))</f>
        <v>33.013327333209304</v>
      </c>
      <c r="W66">
        <f t="shared" si="1"/>
        <v>0</v>
      </c>
    </row>
    <row r="67" spans="10:23" x14ac:dyDescent="0.35">
      <c r="J67" t="s">
        <v>173</v>
      </c>
      <c r="M67" s="2">
        <v>1498.7902447488834</v>
      </c>
    </row>
    <row r="68" spans="10:23" x14ac:dyDescent="0.35">
      <c r="J68" t="s">
        <v>174</v>
      </c>
      <c r="M68" s="2">
        <v>33.013327333209304</v>
      </c>
      <c r="T68" t="s">
        <v>176</v>
      </c>
      <c r="U68">
        <f>M70</f>
        <v>2.1709306719471275</v>
      </c>
      <c r="V68">
        <f>(M52/(M57/D32))*100</f>
        <v>2.1709306719471275</v>
      </c>
      <c r="W68">
        <f t="shared" ref="W68" si="2">ABS(U68-V68)</f>
        <v>0</v>
      </c>
    </row>
    <row r="70" spans="10:23" x14ac:dyDescent="0.35">
      <c r="J70" t="s">
        <v>177</v>
      </c>
      <c r="M70" s="2">
        <v>2.1709306719471275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D23A-791D-4AD8-8BB1-C55259D23852}">
  <dimension ref="B3:AA70"/>
  <sheetViews>
    <sheetView topLeftCell="I5" workbookViewId="0">
      <selection activeCell="M5" sqref="M5"/>
    </sheetView>
  </sheetViews>
  <sheetFormatPr defaultRowHeight="14.5" x14ac:dyDescent="0.35"/>
  <cols>
    <col min="4" max="4" width="11.81640625" bestFit="1" customWidth="1"/>
    <col min="13" max="13" width="11.81640625" style="2" bestFit="1" customWidth="1"/>
    <col min="21" max="21" width="11.453125" bestFit="1" customWidth="1"/>
    <col min="22" max="22" width="11.81640625" bestFit="1" customWidth="1"/>
  </cols>
  <sheetData>
    <row r="3" spans="2:27" x14ac:dyDescent="0.35">
      <c r="F3" t="s">
        <v>0</v>
      </c>
      <c r="J3" t="s">
        <v>4</v>
      </c>
      <c r="P3" t="s">
        <v>41</v>
      </c>
      <c r="T3" t="s">
        <v>7</v>
      </c>
      <c r="AA3" t="s">
        <v>11</v>
      </c>
    </row>
    <row r="4" spans="2:27" x14ac:dyDescent="0.35">
      <c r="B4" t="s">
        <v>1</v>
      </c>
      <c r="C4" t="s">
        <v>2</v>
      </c>
      <c r="D4" t="s">
        <v>3</v>
      </c>
      <c r="F4" t="s">
        <v>1</v>
      </c>
      <c r="G4" t="s">
        <v>2</v>
      </c>
      <c r="H4" t="s">
        <v>3</v>
      </c>
      <c r="J4" t="s">
        <v>1</v>
      </c>
      <c r="K4" t="s">
        <v>2</v>
      </c>
      <c r="L4" t="s">
        <v>5</v>
      </c>
      <c r="M4" s="2" t="s">
        <v>3</v>
      </c>
      <c r="N4" t="s">
        <v>6</v>
      </c>
      <c r="P4" t="s">
        <v>1</v>
      </c>
      <c r="Q4" t="s">
        <v>2</v>
      </c>
      <c r="R4" t="s">
        <v>3</v>
      </c>
      <c r="T4" t="s">
        <v>1</v>
      </c>
      <c r="U4" t="s">
        <v>8</v>
      </c>
      <c r="V4" t="s">
        <v>9</v>
      </c>
      <c r="W4" t="s">
        <v>56</v>
      </c>
      <c r="X4" t="s">
        <v>10</v>
      </c>
    </row>
    <row r="5" spans="2:27" x14ac:dyDescent="0.35">
      <c r="B5" t="s">
        <v>96</v>
      </c>
      <c r="D5">
        <v>0.05</v>
      </c>
      <c r="F5" t="s">
        <v>29</v>
      </c>
      <c r="G5" t="s">
        <v>30</v>
      </c>
      <c r="H5">
        <v>8.3140000000000001</v>
      </c>
    </row>
    <row r="6" spans="2:27" x14ac:dyDescent="0.35">
      <c r="B6" t="s">
        <v>97</v>
      </c>
      <c r="D6">
        <f>D5/3600</f>
        <v>1.388888888888889E-5</v>
      </c>
    </row>
    <row r="7" spans="2:27" x14ac:dyDescent="0.35">
      <c r="B7" t="s">
        <v>98</v>
      </c>
      <c r="D7">
        <v>4200</v>
      </c>
      <c r="F7" t="s">
        <v>12</v>
      </c>
      <c r="G7" t="s">
        <v>13</v>
      </c>
      <c r="H7">
        <v>5</v>
      </c>
      <c r="J7" t="s">
        <v>38</v>
      </c>
      <c r="K7" t="s">
        <v>37</v>
      </c>
      <c r="L7">
        <v>700</v>
      </c>
      <c r="M7" s="2">
        <v>500</v>
      </c>
      <c r="N7">
        <v>100</v>
      </c>
      <c r="P7" t="s">
        <v>43</v>
      </c>
      <c r="Q7" t="s">
        <v>42</v>
      </c>
      <c r="R7">
        <v>7.311723E-3</v>
      </c>
      <c r="T7" t="s">
        <v>55</v>
      </c>
      <c r="U7">
        <f>M10</f>
        <v>0.16229073099999999</v>
      </c>
      <c r="V7">
        <f>R8+R9</f>
        <v>0.16229073099999999</v>
      </c>
      <c r="W7">
        <f>ABS(U7-V7)</f>
        <v>0</v>
      </c>
      <c r="X7" t="s">
        <v>57</v>
      </c>
    </row>
    <row r="8" spans="2:27" x14ac:dyDescent="0.35">
      <c r="B8" t="s">
        <v>99</v>
      </c>
      <c r="D8">
        <f>269900</f>
        <v>269900</v>
      </c>
      <c r="F8" t="s">
        <v>14</v>
      </c>
      <c r="G8" t="s">
        <v>15</v>
      </c>
      <c r="H8">
        <v>0.03</v>
      </c>
      <c r="J8" t="s">
        <v>39</v>
      </c>
      <c r="K8" t="s">
        <v>18</v>
      </c>
      <c r="L8">
        <v>30</v>
      </c>
      <c r="M8" s="2">
        <v>20</v>
      </c>
      <c r="N8">
        <v>6</v>
      </c>
      <c r="P8" t="s">
        <v>44</v>
      </c>
      <c r="Q8" t="s">
        <v>42</v>
      </c>
      <c r="R8">
        <v>4.1428239999999998E-3</v>
      </c>
      <c r="T8" t="s">
        <v>58</v>
      </c>
      <c r="U8">
        <f>M10*M25</f>
        <v>4.1428239999999998E-3</v>
      </c>
      <c r="V8">
        <f>R8</f>
        <v>4.1428239999999998E-3</v>
      </c>
      <c r="W8">
        <f t="shared" ref="W8:W66" si="0">ABS(U8-V8)</f>
        <v>0</v>
      </c>
      <c r="X8" t="s">
        <v>57</v>
      </c>
    </row>
    <row r="9" spans="2:27" x14ac:dyDescent="0.35">
      <c r="B9" t="s">
        <v>100</v>
      </c>
      <c r="D9">
        <f>1.1*1.72*0.001*0.01802*1000</f>
        <v>3.4093840000000007E-2</v>
      </c>
      <c r="F9" t="s">
        <v>16</v>
      </c>
      <c r="G9" t="s">
        <v>110</v>
      </c>
      <c r="H9">
        <v>0.01</v>
      </c>
      <c r="J9" t="s">
        <v>40</v>
      </c>
      <c r="K9" t="s">
        <v>13</v>
      </c>
      <c r="L9">
        <v>4</v>
      </c>
      <c r="M9" s="2">
        <v>2.5</v>
      </c>
      <c r="N9">
        <v>0.8</v>
      </c>
      <c r="P9" t="s">
        <v>45</v>
      </c>
      <c r="Q9" t="s">
        <v>42</v>
      </c>
      <c r="R9">
        <v>0.158147907</v>
      </c>
      <c r="T9" t="s">
        <v>62</v>
      </c>
      <c r="U9">
        <f>M24*M10</f>
        <v>0.158147907</v>
      </c>
      <c r="V9">
        <f>R9</f>
        <v>0.158147907</v>
      </c>
      <c r="W9">
        <f t="shared" si="0"/>
        <v>0</v>
      </c>
      <c r="X9" t="s">
        <v>57</v>
      </c>
    </row>
    <row r="10" spans="2:27" x14ac:dyDescent="0.35">
      <c r="B10" t="s">
        <v>101</v>
      </c>
      <c r="D10">
        <f>330*24</f>
        <v>7920</v>
      </c>
      <c r="F10" t="s">
        <v>17</v>
      </c>
      <c r="G10" t="s">
        <v>18</v>
      </c>
      <c r="H10">
        <v>15000</v>
      </c>
      <c r="J10" t="s">
        <v>47</v>
      </c>
      <c r="K10" t="s">
        <v>42</v>
      </c>
      <c r="M10" s="2">
        <v>0.16229073099999999</v>
      </c>
      <c r="N10" s="1">
        <v>9.9999999999999995E-7</v>
      </c>
      <c r="P10" t="s">
        <v>46</v>
      </c>
      <c r="Q10" t="s">
        <v>42</v>
      </c>
      <c r="R10">
        <v>1.9989899999999999E-4</v>
      </c>
      <c r="T10" t="s">
        <v>61</v>
      </c>
      <c r="U10">
        <f>M11</f>
        <v>24.53125</v>
      </c>
      <c r="V10">
        <f>3.14*((M9^2)/4)*H7</f>
        <v>24.53125</v>
      </c>
      <c r="W10">
        <f t="shared" si="0"/>
        <v>0</v>
      </c>
      <c r="X10" t="s">
        <v>63</v>
      </c>
    </row>
    <row r="11" spans="2:27" x14ac:dyDescent="0.35">
      <c r="B11" t="s">
        <v>103</v>
      </c>
      <c r="D11">
        <v>950</v>
      </c>
      <c r="F11" t="s">
        <v>19</v>
      </c>
      <c r="G11" t="s">
        <v>20</v>
      </c>
      <c r="H11">
        <v>100</v>
      </c>
      <c r="J11" t="s">
        <v>48</v>
      </c>
      <c r="K11" t="s">
        <v>65</v>
      </c>
      <c r="L11">
        <v>2.5</v>
      </c>
      <c r="M11" s="2">
        <v>24.53125</v>
      </c>
      <c r="N11">
        <v>65</v>
      </c>
      <c r="P11" t="s">
        <v>47</v>
      </c>
      <c r="Q11" t="s">
        <v>42</v>
      </c>
      <c r="R11">
        <f>R9+R8</f>
        <v>0.16229073099999999</v>
      </c>
      <c r="T11" t="s">
        <v>64</v>
      </c>
      <c r="U11">
        <f>M12</f>
        <v>40.248197216166368</v>
      </c>
      <c r="V11">
        <f>M8*(H12/298.15)</f>
        <v>40.248197216166368</v>
      </c>
      <c r="W11">
        <f t="shared" si="0"/>
        <v>0</v>
      </c>
      <c r="X11" t="s">
        <v>66</v>
      </c>
    </row>
    <row r="12" spans="2:27" x14ac:dyDescent="0.35">
      <c r="B12" t="s">
        <v>104</v>
      </c>
      <c r="D12">
        <v>509.7</v>
      </c>
      <c r="F12" t="s">
        <v>21</v>
      </c>
      <c r="G12" t="s">
        <v>22</v>
      </c>
      <c r="H12">
        <v>600</v>
      </c>
      <c r="J12" t="s">
        <v>49</v>
      </c>
      <c r="K12" t="s">
        <v>18</v>
      </c>
      <c r="L12">
        <v>10</v>
      </c>
      <c r="M12" s="2">
        <v>40.248197216166368</v>
      </c>
      <c r="N12">
        <v>68</v>
      </c>
      <c r="T12" t="s">
        <v>67</v>
      </c>
      <c r="U12">
        <f>M15</f>
        <v>650</v>
      </c>
      <c r="V12">
        <f>H14+H15+M7+H16</f>
        <v>650</v>
      </c>
      <c r="W12">
        <f t="shared" si="0"/>
        <v>0</v>
      </c>
      <c r="X12" t="s">
        <v>68</v>
      </c>
    </row>
    <row r="13" spans="2:27" x14ac:dyDescent="0.35">
      <c r="B13" t="s">
        <v>109</v>
      </c>
      <c r="D13">
        <v>156.19999999999999</v>
      </c>
      <c r="F13" t="s">
        <v>26</v>
      </c>
      <c r="G13" t="s">
        <v>24</v>
      </c>
      <c r="H13">
        <v>3</v>
      </c>
      <c r="J13" t="s">
        <v>50</v>
      </c>
      <c r="L13">
        <f>L12*L16*H8</f>
        <v>750</v>
      </c>
      <c r="M13" s="2">
        <v>905.58443736374329</v>
      </c>
      <c r="N13">
        <f>N12*N16*H8</f>
        <v>1020</v>
      </c>
      <c r="P13" t="s">
        <v>82</v>
      </c>
      <c r="Q13" t="s">
        <v>42</v>
      </c>
      <c r="R13">
        <v>1.329844</v>
      </c>
      <c r="T13" t="s">
        <v>69</v>
      </c>
      <c r="U13">
        <f>M16</f>
        <v>750</v>
      </c>
      <c r="V13">
        <f>H10/M8</f>
        <v>750</v>
      </c>
      <c r="W13">
        <f t="shared" si="0"/>
        <v>0</v>
      </c>
      <c r="X13" t="s">
        <v>20</v>
      </c>
    </row>
    <row r="14" spans="2:27" x14ac:dyDescent="0.35">
      <c r="B14" t="s">
        <v>113</v>
      </c>
      <c r="D14">
        <v>100000</v>
      </c>
      <c r="F14" t="s">
        <v>34</v>
      </c>
      <c r="G14" t="s">
        <v>37</v>
      </c>
      <c r="H14">
        <v>50</v>
      </c>
      <c r="J14" t="s">
        <v>51</v>
      </c>
      <c r="L14">
        <f>L13</f>
        <v>750</v>
      </c>
      <c r="M14" s="2">
        <v>905.58443736374329</v>
      </c>
      <c r="N14">
        <f>N13</f>
        <v>1020</v>
      </c>
      <c r="P14" t="s">
        <v>83</v>
      </c>
      <c r="Q14" t="s">
        <v>42</v>
      </c>
      <c r="R14">
        <v>1.3600760000000001</v>
      </c>
      <c r="T14" t="s">
        <v>70</v>
      </c>
      <c r="U14">
        <f>M17</f>
        <v>3683.0357142857138</v>
      </c>
      <c r="V14">
        <f>M16*(22/7)*((M9/2)^2)</f>
        <v>3683.0357142857138</v>
      </c>
      <c r="W14">
        <f t="shared" si="0"/>
        <v>0</v>
      </c>
      <c r="X14" t="s">
        <v>73</v>
      </c>
    </row>
    <row r="15" spans="2:27" x14ac:dyDescent="0.35">
      <c r="B15" t="s">
        <v>114</v>
      </c>
      <c r="D15">
        <v>0.1</v>
      </c>
      <c r="F15" t="s">
        <v>35</v>
      </c>
      <c r="G15" t="s">
        <v>37</v>
      </c>
      <c r="H15">
        <v>50</v>
      </c>
      <c r="J15" t="s">
        <v>52</v>
      </c>
      <c r="L15">
        <v>850</v>
      </c>
      <c r="M15" s="2">
        <v>650</v>
      </c>
      <c r="N15">
        <v>250</v>
      </c>
      <c r="P15" t="s">
        <v>84</v>
      </c>
      <c r="Q15" t="s">
        <v>42</v>
      </c>
      <c r="R15">
        <v>1.1973750000000001</v>
      </c>
      <c r="T15" t="s">
        <v>71</v>
      </c>
      <c r="U15">
        <f>M18</f>
        <v>7.5</v>
      </c>
      <c r="V15">
        <f>M16/H11</f>
        <v>7.5</v>
      </c>
      <c r="W15">
        <f t="shared" si="0"/>
        <v>0</v>
      </c>
      <c r="X15" t="s">
        <v>20</v>
      </c>
    </row>
    <row r="16" spans="2:27" x14ac:dyDescent="0.35">
      <c r="B16" t="s">
        <v>115</v>
      </c>
      <c r="D16">
        <v>0.7</v>
      </c>
      <c r="F16" t="s">
        <v>36</v>
      </c>
      <c r="G16" t="s">
        <v>37</v>
      </c>
      <c r="H16">
        <v>50</v>
      </c>
      <c r="J16" t="s">
        <v>72</v>
      </c>
      <c r="L16">
        <v>2500</v>
      </c>
      <c r="M16" s="2">
        <v>750</v>
      </c>
      <c r="N16">
        <v>500</v>
      </c>
      <c r="P16" t="s">
        <v>85</v>
      </c>
      <c r="Q16" t="s">
        <v>42</v>
      </c>
      <c r="R16">
        <v>2.7829999999999999E-3</v>
      </c>
    </row>
    <row r="17" spans="2:24" x14ac:dyDescent="0.35">
      <c r="B17" t="s">
        <v>116</v>
      </c>
      <c r="D17">
        <v>2.5</v>
      </c>
      <c r="J17" t="s">
        <v>53</v>
      </c>
      <c r="L17">
        <v>200</v>
      </c>
      <c r="M17" s="2">
        <v>3683.0357142857138</v>
      </c>
      <c r="N17">
        <v>35000</v>
      </c>
      <c r="T17" t="s">
        <v>74</v>
      </c>
      <c r="U17">
        <f>M13</f>
        <v>905.58443736374329</v>
      </c>
      <c r="V17">
        <f>M12*M16*H8</f>
        <v>905.58443736374329</v>
      </c>
      <c r="W17">
        <f t="shared" si="0"/>
        <v>0</v>
      </c>
      <c r="X17" t="s">
        <v>57</v>
      </c>
    </row>
    <row r="18" spans="2:24" x14ac:dyDescent="0.35">
      <c r="B18" t="s">
        <v>117</v>
      </c>
      <c r="D18">
        <v>394.3</v>
      </c>
      <c r="J18" t="s">
        <v>54</v>
      </c>
      <c r="L18">
        <v>25</v>
      </c>
      <c r="M18" s="2">
        <v>7.5</v>
      </c>
      <c r="N18">
        <v>5</v>
      </c>
      <c r="T18" t="s">
        <v>75</v>
      </c>
      <c r="U18">
        <f>M14</f>
        <v>905.58443736374329</v>
      </c>
      <c r="V18">
        <f>U17</f>
        <v>905.58443736374329</v>
      </c>
      <c r="W18">
        <f t="shared" si="0"/>
        <v>0</v>
      </c>
      <c r="X18" t="s">
        <v>57</v>
      </c>
    </row>
    <row r="19" spans="2:24" x14ac:dyDescent="0.35">
      <c r="B19" t="s">
        <v>122</v>
      </c>
      <c r="D19">
        <v>70.1643720709327</v>
      </c>
    </row>
    <row r="20" spans="2:24" x14ac:dyDescent="0.35">
      <c r="B20" t="s">
        <v>123</v>
      </c>
      <c r="D20">
        <v>200</v>
      </c>
      <c r="F20" t="s">
        <v>23</v>
      </c>
      <c r="G20" t="s">
        <v>24</v>
      </c>
      <c r="H20">
        <f>H13</f>
        <v>3</v>
      </c>
      <c r="J20" t="s">
        <v>76</v>
      </c>
      <c r="M20" s="2">
        <v>0.92189909873203624</v>
      </c>
      <c r="N20" s="1">
        <v>9.9999999999999995E-7</v>
      </c>
      <c r="T20" t="s">
        <v>79</v>
      </c>
      <c r="U20">
        <f>M22</f>
        <v>121.71804825</v>
      </c>
      <c r="V20">
        <f>M10*M16</f>
        <v>121.71804825</v>
      </c>
      <c r="W20">
        <f t="shared" si="0"/>
        <v>0</v>
      </c>
      <c r="X20" t="s">
        <v>57</v>
      </c>
    </row>
    <row r="21" spans="2:24" x14ac:dyDescent="0.35">
      <c r="B21" t="s">
        <v>124</v>
      </c>
      <c r="D21">
        <v>1.4999999999999999E-2</v>
      </c>
      <c r="F21" t="s">
        <v>25</v>
      </c>
      <c r="G21" t="s">
        <v>22</v>
      </c>
      <c r="H21">
        <f>H12</f>
        <v>600</v>
      </c>
      <c r="J21" t="s">
        <v>77</v>
      </c>
      <c r="M21" s="2">
        <v>0.98113267152877504</v>
      </c>
      <c r="N21" s="1">
        <v>9.9999999999999995E-7</v>
      </c>
    </row>
    <row r="22" spans="2:24" x14ac:dyDescent="0.35">
      <c r="B22" t="s">
        <v>127</v>
      </c>
      <c r="D22">
        <v>0.85</v>
      </c>
      <c r="F22" t="s">
        <v>27</v>
      </c>
      <c r="G22" t="s">
        <v>24</v>
      </c>
      <c r="H22">
        <v>9</v>
      </c>
      <c r="J22" t="s">
        <v>78</v>
      </c>
      <c r="M22" s="2">
        <v>121.71804825</v>
      </c>
      <c r="N22" s="1">
        <v>9.9999999999999995E-7</v>
      </c>
      <c r="T22" t="s">
        <v>79</v>
      </c>
      <c r="U22">
        <f>M20</f>
        <v>0.92189909873203624</v>
      </c>
      <c r="V22">
        <f>(M22*H5*H21/H25)*(H24/(H24-1))*((H22/H20)^((H24-1)/H24)-1)/1000000</f>
        <v>0.92189909873203624</v>
      </c>
      <c r="W22">
        <f t="shared" si="0"/>
        <v>0</v>
      </c>
    </row>
    <row r="23" spans="2:24" x14ac:dyDescent="0.35">
      <c r="B23" t="s">
        <v>132</v>
      </c>
      <c r="D23">
        <v>50000</v>
      </c>
      <c r="F23" t="s">
        <v>28</v>
      </c>
      <c r="G23" t="s">
        <v>22</v>
      </c>
      <c r="H23">
        <v>323</v>
      </c>
    </row>
    <row r="24" spans="2:24" x14ac:dyDescent="0.35">
      <c r="B24" t="s">
        <v>133</v>
      </c>
      <c r="D24">
        <v>50</v>
      </c>
      <c r="F24" t="s">
        <v>31</v>
      </c>
      <c r="G24" t="s">
        <v>20</v>
      </c>
      <c r="H24">
        <v>1.4</v>
      </c>
      <c r="J24" t="s">
        <v>59</v>
      </c>
      <c r="K24" t="s">
        <v>20</v>
      </c>
      <c r="L24">
        <v>1</v>
      </c>
      <c r="M24" s="2">
        <f>R9/M10</f>
        <v>0.97447282432907401</v>
      </c>
      <c r="N24" s="1">
        <v>9.9999999999999995E-7</v>
      </c>
      <c r="T24" t="s">
        <v>80</v>
      </c>
      <c r="U24">
        <f>M21</f>
        <v>0.98113267152877504</v>
      </c>
      <c r="V24">
        <f>M22*H26*(H21-H23)/1000000</f>
        <v>0.98113267152877504</v>
      </c>
      <c r="W24">
        <f t="shared" si="0"/>
        <v>0</v>
      </c>
      <c r="X24" t="s">
        <v>92</v>
      </c>
    </row>
    <row r="25" spans="2:24" x14ac:dyDescent="0.35">
      <c r="B25" t="s">
        <v>134</v>
      </c>
      <c r="D25">
        <v>0.6</v>
      </c>
      <c r="F25" t="s">
        <v>32</v>
      </c>
      <c r="G25" t="s">
        <v>20</v>
      </c>
      <c r="H25">
        <v>0.85</v>
      </c>
      <c r="J25" t="s">
        <v>60</v>
      </c>
      <c r="K25" t="s">
        <v>20</v>
      </c>
      <c r="L25">
        <v>1</v>
      </c>
      <c r="M25" s="2">
        <f>R8/M10</f>
        <v>2.5527175670926026E-2</v>
      </c>
      <c r="N25" s="1">
        <v>9.9999999999999995E-7</v>
      </c>
    </row>
    <row r="26" spans="2:24" x14ac:dyDescent="0.35">
      <c r="B26" t="s">
        <v>135</v>
      </c>
      <c r="D26">
        <v>2</v>
      </c>
      <c r="F26" t="s">
        <v>33</v>
      </c>
      <c r="G26" t="s">
        <v>30</v>
      </c>
      <c r="H26">
        <v>29.1</v>
      </c>
      <c r="J26" t="s">
        <v>81</v>
      </c>
      <c r="M26" s="2">
        <v>89.493563778788825</v>
      </c>
      <c r="N26" s="1">
        <v>9.9999999999999995E-7</v>
      </c>
      <c r="T26" t="s">
        <v>86</v>
      </c>
      <c r="U26">
        <f>M26*R14</f>
        <v>121.71804825</v>
      </c>
      <c r="V26">
        <f>M22</f>
        <v>121.71804825</v>
      </c>
      <c r="W26">
        <f t="shared" si="0"/>
        <v>0</v>
      </c>
      <c r="X26" t="s">
        <v>57</v>
      </c>
    </row>
    <row r="27" spans="2:24" x14ac:dyDescent="0.35">
      <c r="B27" t="s">
        <v>140</v>
      </c>
      <c r="D27">
        <v>603.1</v>
      </c>
      <c r="J27" t="s">
        <v>90</v>
      </c>
      <c r="L27">
        <v>1</v>
      </c>
      <c r="M27" s="2">
        <v>0.99768113865007779</v>
      </c>
      <c r="N27" s="1">
        <v>9.9999999999999995E-7</v>
      </c>
      <c r="V27">
        <f>V26/R14</f>
        <v>89.493563778788825</v>
      </c>
    </row>
    <row r="28" spans="2:24" x14ac:dyDescent="0.35">
      <c r="B28" t="s">
        <v>143</v>
      </c>
      <c r="D28">
        <v>7072.6943346505104</v>
      </c>
      <c r="J28" t="s">
        <v>91</v>
      </c>
      <c r="L28">
        <v>1</v>
      </c>
      <c r="M28" s="2">
        <v>0.90038756425565714</v>
      </c>
      <c r="N28" s="1">
        <v>9.9999999999999995E-7</v>
      </c>
      <c r="T28" t="s">
        <v>87</v>
      </c>
      <c r="U28">
        <f>M24+M25</f>
        <v>1</v>
      </c>
      <c r="V28">
        <f>1</f>
        <v>1</v>
      </c>
      <c r="W28">
        <f t="shared" si="0"/>
        <v>0</v>
      </c>
      <c r="X28" t="s">
        <v>20</v>
      </c>
    </row>
    <row r="29" spans="2:24" x14ac:dyDescent="0.35">
      <c r="B29" t="s">
        <v>144</v>
      </c>
      <c r="D29">
        <v>157.929826191367</v>
      </c>
      <c r="T29" t="s">
        <v>88</v>
      </c>
      <c r="U29">
        <f>M27*(R15+R16)</f>
        <v>1.1973750000000001</v>
      </c>
      <c r="V29">
        <f>R15</f>
        <v>1.1973750000000001</v>
      </c>
      <c r="W29">
        <f t="shared" si="0"/>
        <v>0</v>
      </c>
      <c r="X29" t="s">
        <v>42</v>
      </c>
    </row>
    <row r="30" spans="2:24" x14ac:dyDescent="0.35">
      <c r="B30" t="s">
        <v>152</v>
      </c>
      <c r="D30">
        <v>10</v>
      </c>
      <c r="V30">
        <f>R15/(R15+R16)</f>
        <v>0.99768113865007779</v>
      </c>
    </row>
    <row r="31" spans="2:24" x14ac:dyDescent="0.35">
      <c r="B31" t="s">
        <v>153</v>
      </c>
      <c r="D31">
        <v>10</v>
      </c>
      <c r="J31" t="s">
        <v>94</v>
      </c>
      <c r="M31" s="2">
        <v>97669530.648470953</v>
      </c>
      <c r="N31" s="1">
        <v>9.9999999999999995E-7</v>
      </c>
      <c r="T31" t="s">
        <v>89</v>
      </c>
      <c r="U31">
        <f>M28*R13</f>
        <v>1.1973750000000001</v>
      </c>
      <c r="V31">
        <f>R15</f>
        <v>1.1973750000000001</v>
      </c>
      <c r="W31">
        <f t="shared" si="0"/>
        <v>0</v>
      </c>
      <c r="X31" t="s">
        <v>42</v>
      </c>
    </row>
    <row r="32" spans="2:24" x14ac:dyDescent="0.35">
      <c r="B32" t="s">
        <v>158</v>
      </c>
      <c r="D32">
        <v>4.99955553670135E-2</v>
      </c>
      <c r="J32" t="s">
        <v>95</v>
      </c>
      <c r="M32" s="2">
        <v>1026552406.5067921</v>
      </c>
      <c r="N32" s="1">
        <v>9.9999999999999995E-7</v>
      </c>
      <c r="V32">
        <f>R15/R13</f>
        <v>0.90038756425565714</v>
      </c>
    </row>
    <row r="33" spans="2:23" x14ac:dyDescent="0.35">
      <c r="B33" t="s">
        <v>166</v>
      </c>
      <c r="D33">
        <v>9.9999999999999998E-13</v>
      </c>
      <c r="T33" t="s">
        <v>93</v>
      </c>
      <c r="U33">
        <f>M31</f>
        <v>97669530.648470953</v>
      </c>
      <c r="V33">
        <f>((M13*3.6*D6*D8)+(M14*3.6*D9))*D10</f>
        <v>97669530.648470953</v>
      </c>
      <c r="W33">
        <f t="shared" si="0"/>
        <v>0</v>
      </c>
    </row>
    <row r="34" spans="2:23" x14ac:dyDescent="0.35">
      <c r="B34" t="s">
        <v>167</v>
      </c>
      <c r="D34">
        <v>20</v>
      </c>
      <c r="J34" t="s">
        <v>106</v>
      </c>
      <c r="L34">
        <f>2*((53000 + (28000 * ((N11*0.000001*H11)^0.8))) * L18 * D11/D12)</f>
        <v>4985617.2880248176</v>
      </c>
      <c r="M34" s="2">
        <v>1488142.9893533774</v>
      </c>
      <c r="N34">
        <f>2*((53000 + (28000 * ((L11*0.000001*H11)^0.8))) * N18 * D11/D12)</f>
        <v>988521.3423542981</v>
      </c>
      <c r="T34" t="s">
        <v>102</v>
      </c>
      <c r="U34">
        <f>M32</f>
        <v>1026552406.5067921</v>
      </c>
      <c r="V34">
        <f>M13*3.6*D8*D7/3600</f>
        <v>1026552406.5067921</v>
      </c>
      <c r="W34">
        <f t="shared" si="0"/>
        <v>0</v>
      </c>
    </row>
    <row r="35" spans="2:23" x14ac:dyDescent="0.35">
      <c r="J35" t="s">
        <v>107</v>
      </c>
      <c r="L35">
        <f>(0.18*M34) + (D13*H9*L16/10)</f>
        <v>268256.23808360792</v>
      </c>
      <c r="M35" s="2">
        <v>267982.88808360795</v>
      </c>
      <c r="N35">
        <f>(0.18*M34) + (D13*H9*N16/10)</f>
        <v>267943.8380836079</v>
      </c>
    </row>
    <row r="36" spans="2:23" x14ac:dyDescent="0.35">
      <c r="T36" t="s">
        <v>105</v>
      </c>
      <c r="U36">
        <f>M34</f>
        <v>1488142.9893533774</v>
      </c>
      <c r="V36">
        <f>2*((53000 + (28000 * ((M11*0.000001*H11)^0.8))) * M18 * D11/D12)</f>
        <v>1488142.9893533774</v>
      </c>
      <c r="W36">
        <f t="shared" si="0"/>
        <v>0</v>
      </c>
    </row>
    <row r="37" spans="2:23" x14ac:dyDescent="0.35">
      <c r="J37" t="s">
        <v>111</v>
      </c>
      <c r="M37" s="2">
        <v>1183636.5895158404</v>
      </c>
      <c r="T37" t="s">
        <v>108</v>
      </c>
      <c r="U37">
        <f>M35</f>
        <v>267982.88808360795</v>
      </c>
      <c r="V37">
        <f>(0.18*M34) + (D13*H9*M16/10)</f>
        <v>267982.88808360795</v>
      </c>
      <c r="W37">
        <f t="shared" si="0"/>
        <v>0</v>
      </c>
    </row>
    <row r="38" spans="2:23" x14ac:dyDescent="0.35">
      <c r="J38" t="s">
        <v>118</v>
      </c>
      <c r="M38" s="2">
        <v>3365094.1335208141</v>
      </c>
    </row>
    <row r="39" spans="2:23" x14ac:dyDescent="0.35">
      <c r="J39" t="s">
        <v>119</v>
      </c>
      <c r="M39" s="2">
        <v>605716.94403374649</v>
      </c>
      <c r="T39" t="s">
        <v>112</v>
      </c>
      <c r="U39">
        <f>M37</f>
        <v>1183636.5895158404</v>
      </c>
      <c r="V39">
        <f>D14*((M20/D15)^D16)*D17</f>
        <v>1183636.5895158404</v>
      </c>
      <c r="W39">
        <f t="shared" si="0"/>
        <v>0</v>
      </c>
    </row>
    <row r="40" spans="2:23" x14ac:dyDescent="0.35">
      <c r="T40" t="s">
        <v>120</v>
      </c>
      <c r="U40">
        <f>M38</f>
        <v>3365094.1335208141</v>
      </c>
      <c r="V40">
        <f>1.18*M37*(D11/D18)</f>
        <v>3365094.1335208141</v>
      </c>
      <c r="W40">
        <f t="shared" si="0"/>
        <v>0</v>
      </c>
    </row>
    <row r="41" spans="2:23" x14ac:dyDescent="0.35">
      <c r="T41" t="s">
        <v>121</v>
      </c>
      <c r="U41">
        <f>M39</f>
        <v>605716.94403374649</v>
      </c>
      <c r="V41">
        <f>0.18*M38</f>
        <v>605716.94403374649</v>
      </c>
      <c r="W41">
        <f t="shared" si="0"/>
        <v>0</v>
      </c>
    </row>
    <row r="42" spans="2:23" x14ac:dyDescent="0.35">
      <c r="J42" t="s">
        <v>126</v>
      </c>
      <c r="M42" s="2">
        <v>69.916728573933412</v>
      </c>
    </row>
    <row r="43" spans="2:23" x14ac:dyDescent="0.35">
      <c r="J43" t="s">
        <v>129</v>
      </c>
      <c r="M43" s="2">
        <v>0.8339627707994588</v>
      </c>
      <c r="T43" t="s">
        <v>125</v>
      </c>
      <c r="U43">
        <f>M42</f>
        <v>69.916728573933412</v>
      </c>
      <c r="V43">
        <f>M21*1000000/(D20*D19)</f>
        <v>69.916728573933412</v>
      </c>
      <c r="W43">
        <f t="shared" si="0"/>
        <v>0</v>
      </c>
    </row>
    <row r="44" spans="2:23" x14ac:dyDescent="0.35">
      <c r="J44" t="s">
        <v>130</v>
      </c>
      <c r="M44" s="2">
        <v>45.033989623170768</v>
      </c>
      <c r="T44" t="s">
        <v>128</v>
      </c>
      <c r="U44">
        <f>M43</f>
        <v>0.8339627707994588</v>
      </c>
      <c r="V44">
        <f>M21*D22</f>
        <v>0.8339627707994588</v>
      </c>
      <c r="W44">
        <f t="shared" si="0"/>
        <v>0</v>
      </c>
    </row>
    <row r="45" spans="2:23" x14ac:dyDescent="0.35">
      <c r="J45" t="s">
        <v>136</v>
      </c>
      <c r="M45" s="2">
        <v>122283.16109894158</v>
      </c>
      <c r="T45" t="s">
        <v>131</v>
      </c>
      <c r="U45">
        <f>M44</f>
        <v>45.033989623170768</v>
      </c>
      <c r="V45">
        <f>M43*3600*D21</f>
        <v>45.033989623170768</v>
      </c>
      <c r="W45">
        <f t="shared" si="0"/>
        <v>0</v>
      </c>
    </row>
    <row r="46" spans="2:23" x14ac:dyDescent="0.35">
      <c r="J46" t="s">
        <v>137</v>
      </c>
      <c r="M46" s="2">
        <v>227291.36725570139</v>
      </c>
    </row>
    <row r="47" spans="2:23" x14ac:dyDescent="0.35">
      <c r="J47" t="s">
        <v>138</v>
      </c>
      <c r="M47" s="2">
        <v>40912.446106026247</v>
      </c>
      <c r="T47" t="s">
        <v>131</v>
      </c>
      <c r="U47">
        <f>M45</f>
        <v>122283.16109894158</v>
      </c>
      <c r="V47">
        <f>D23*((M42/D24)^D25)*D26</f>
        <v>122283.16109894158</v>
      </c>
      <c r="W47">
        <f t="shared" si="0"/>
        <v>0</v>
      </c>
    </row>
    <row r="48" spans="2:23" x14ac:dyDescent="0.35">
      <c r="J48" t="s">
        <v>145</v>
      </c>
      <c r="M48" s="2">
        <v>1799515.2339096132</v>
      </c>
      <c r="T48" t="s">
        <v>139</v>
      </c>
      <c r="U48">
        <f>M46</f>
        <v>227291.36725570139</v>
      </c>
      <c r="V48">
        <f>1.18*M45*D11/D27</f>
        <v>227291.36725570139</v>
      </c>
      <c r="W48">
        <f t="shared" si="0"/>
        <v>0</v>
      </c>
    </row>
    <row r="49" spans="10:23" x14ac:dyDescent="0.35">
      <c r="J49" t="s">
        <v>147</v>
      </c>
      <c r="M49" s="2">
        <v>338046.44507656054</v>
      </c>
      <c r="T49" t="s">
        <v>141</v>
      </c>
      <c r="U49">
        <f>M47</f>
        <v>40912.446106026247</v>
      </c>
      <c r="V49">
        <f>0.18*M46</f>
        <v>40912.446106026247</v>
      </c>
      <c r="W49">
        <f t="shared" si="0"/>
        <v>0</v>
      </c>
    </row>
    <row r="51" spans="10:23" x14ac:dyDescent="0.35">
      <c r="T51" t="s">
        <v>142</v>
      </c>
      <c r="U51">
        <f>M48</f>
        <v>1799515.2339096132</v>
      </c>
      <c r="V51">
        <f>1.18*M26*D28*D11/D18</f>
        <v>1799515.2339096132</v>
      </c>
      <c r="W51">
        <f t="shared" si="0"/>
        <v>0</v>
      </c>
    </row>
    <row r="52" spans="10:23" x14ac:dyDescent="0.35">
      <c r="J52" t="s">
        <v>148</v>
      </c>
      <c r="M52" s="2">
        <v>30980386.675320365</v>
      </c>
      <c r="T52" t="s">
        <v>146</v>
      </c>
      <c r="U52">
        <f>M49</f>
        <v>338046.44507656054</v>
      </c>
      <c r="V52">
        <f>(0.18*M48)+(D29*M26)</f>
        <v>338046.44507656054</v>
      </c>
      <c r="W52">
        <f t="shared" si="0"/>
        <v>0</v>
      </c>
    </row>
    <row r="53" spans="10:23" x14ac:dyDescent="0.35">
      <c r="J53" t="s">
        <v>149</v>
      </c>
      <c r="M53" s="2">
        <v>71012.154849524813</v>
      </c>
    </row>
    <row r="54" spans="10:23" x14ac:dyDescent="0.35">
      <c r="J54" t="s">
        <v>150</v>
      </c>
      <c r="M54" s="2">
        <v>30552705.322655328</v>
      </c>
      <c r="T54" t="s">
        <v>154</v>
      </c>
      <c r="U54">
        <f>M53</f>
        <v>71012.154849524813</v>
      </c>
      <c r="V54">
        <f>R16*3.6*M26*D31*D10</f>
        <v>71012.154849524813</v>
      </c>
      <c r="W54">
        <f t="shared" si="0"/>
        <v>0</v>
      </c>
    </row>
    <row r="55" spans="10:23" x14ac:dyDescent="0.35">
      <c r="J55" t="s">
        <v>151</v>
      </c>
      <c r="M55" s="2">
        <v>356669.19781551248</v>
      </c>
      <c r="T55" t="s">
        <v>155</v>
      </c>
      <c r="U55">
        <f>M54</f>
        <v>30552705.322655328</v>
      </c>
      <c r="V55">
        <f>R15*3.6*M26*D30*D10</f>
        <v>30552705.322655328</v>
      </c>
      <c r="W55">
        <f t="shared" si="0"/>
        <v>0</v>
      </c>
    </row>
    <row r="56" spans="10:23" x14ac:dyDescent="0.35">
      <c r="T56" t="s">
        <v>156</v>
      </c>
      <c r="U56">
        <f>M55</f>
        <v>356669.19781551248</v>
      </c>
      <c r="V56">
        <f>M44*D10</f>
        <v>356669.19781551248</v>
      </c>
      <c r="W56">
        <f t="shared" si="0"/>
        <v>0</v>
      </c>
    </row>
    <row r="57" spans="10:23" x14ac:dyDescent="0.35">
      <c r="J57" t="s">
        <v>159</v>
      </c>
      <c r="M57" s="2">
        <v>51667029.283583969</v>
      </c>
      <c r="T57" t="s">
        <v>157</v>
      </c>
      <c r="U57">
        <f>M52</f>
        <v>30980386.675320365</v>
      </c>
      <c r="V57">
        <f>M53+M54+M55</f>
        <v>30980386.675320365</v>
      </c>
      <c r="W57">
        <f t="shared" si="0"/>
        <v>0</v>
      </c>
    </row>
    <row r="58" spans="10:23" x14ac:dyDescent="0.35">
      <c r="J58" t="s">
        <v>160</v>
      </c>
      <c r="M58" s="2">
        <v>98922189.371770889</v>
      </c>
    </row>
    <row r="59" spans="10:23" x14ac:dyDescent="0.35">
      <c r="T59" t="s">
        <v>161</v>
      </c>
      <c r="U59">
        <f>M57</f>
        <v>51667029.283583969</v>
      </c>
      <c r="V59">
        <f>(M32+M34+M38+M46+M48)*D32</f>
        <v>51667029.283583969</v>
      </c>
      <c r="W59">
        <f t="shared" si="0"/>
        <v>0</v>
      </c>
    </row>
    <row r="60" spans="10:23" x14ac:dyDescent="0.35">
      <c r="T60" t="s">
        <v>162</v>
      </c>
      <c r="U60">
        <f>M58</f>
        <v>98922189.371770889</v>
      </c>
      <c r="V60">
        <f>M31+M35+M39+M47+M49</f>
        <v>98922189.371770889</v>
      </c>
      <c r="W60">
        <f t="shared" si="0"/>
        <v>0</v>
      </c>
    </row>
    <row r="62" spans="10:23" x14ac:dyDescent="0.35">
      <c r="J62" t="s">
        <v>163</v>
      </c>
      <c r="M62" s="2">
        <f>M58+M57-M52</f>
        <v>119608831.9800345</v>
      </c>
    </row>
    <row r="63" spans="10:23" x14ac:dyDescent="0.35">
      <c r="T63" t="s">
        <v>164</v>
      </c>
      <c r="U63">
        <f>M65</f>
        <v>-2392389305.4763427</v>
      </c>
      <c r="V63">
        <f>((M52-M58)/D33)*(1-(1/((1+D33)^D34)))-(M57/D32)</f>
        <v>-2392389305.4763427</v>
      </c>
      <c r="W63">
        <f t="shared" si="0"/>
        <v>0</v>
      </c>
    </row>
    <row r="64" spans="10:23" x14ac:dyDescent="0.35">
      <c r="T64" t="s">
        <v>168</v>
      </c>
      <c r="U64">
        <f>M66</f>
        <v>24.448582302066384</v>
      </c>
      <c r="V64">
        <f>(M57+M58)/(R15*3.6*M26*D10*(2.016))</f>
        <v>24.448582302066384</v>
      </c>
      <c r="W64">
        <f t="shared" si="0"/>
        <v>0</v>
      </c>
    </row>
    <row r="65" spans="10:23" x14ac:dyDescent="0.35">
      <c r="J65" t="s">
        <v>165</v>
      </c>
      <c r="M65" s="2">
        <v>-2392389305.4763427</v>
      </c>
      <c r="T65" t="s">
        <v>169</v>
      </c>
      <c r="U65">
        <f>M67</f>
        <v>1321.8300020907357</v>
      </c>
      <c r="V65">
        <f>(M57+M58)/(R16*3.6*M26*D10*(16.043))</f>
        <v>1321.8300020907357</v>
      </c>
      <c r="W65">
        <f t="shared" si="0"/>
        <v>0</v>
      </c>
    </row>
    <row r="66" spans="10:23" x14ac:dyDescent="0.35">
      <c r="J66" t="s">
        <v>170</v>
      </c>
      <c r="M66" s="2">
        <v>24.448582302066384</v>
      </c>
      <c r="T66" t="s">
        <v>172</v>
      </c>
      <c r="U66">
        <f>M68</f>
        <v>24.004593083556681</v>
      </c>
      <c r="V66">
        <f>(M57+M58)/((R15*3.6*M26*D10*(2.016))+(R16*3.6*M26*D10*(16.043)))</f>
        <v>24.004593083556681</v>
      </c>
      <c r="W66">
        <f t="shared" si="0"/>
        <v>0</v>
      </c>
    </row>
    <row r="67" spans="10:23" x14ac:dyDescent="0.35">
      <c r="J67" t="s">
        <v>171</v>
      </c>
      <c r="M67" s="2">
        <v>1321.8300020907357</v>
      </c>
    </row>
    <row r="68" spans="10:23" x14ac:dyDescent="0.35">
      <c r="J68" t="s">
        <v>174</v>
      </c>
      <c r="M68" s="2">
        <v>24.004593083556681</v>
      </c>
      <c r="T68" t="s">
        <v>176</v>
      </c>
      <c r="U68">
        <f>M70</f>
        <v>2.9978143872297078</v>
      </c>
      <c r="V68">
        <f>(M52/(M57/D32))*100</f>
        <v>2.9978143872297078</v>
      </c>
      <c r="W68">
        <f t="shared" ref="W68" si="1">ABS(U68-V68)</f>
        <v>0</v>
      </c>
    </row>
    <row r="70" spans="10:23" x14ac:dyDescent="0.35">
      <c r="J70" t="s">
        <v>177</v>
      </c>
      <c r="M70" s="2">
        <v>2.9978143872297078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4821-7D91-4D85-BE31-AB8A5075549C}">
  <dimension ref="B3:AA70"/>
  <sheetViews>
    <sheetView topLeftCell="G1" workbookViewId="0">
      <selection activeCell="R13" sqref="R13:R16"/>
    </sheetView>
  </sheetViews>
  <sheetFormatPr defaultRowHeight="14.5" x14ac:dyDescent="0.35"/>
  <cols>
    <col min="4" max="4" width="11.81640625" bestFit="1" customWidth="1"/>
    <col min="13" max="13" width="11.81640625" style="2" bestFit="1" customWidth="1"/>
    <col min="21" max="22" width="10.81640625" bestFit="1" customWidth="1"/>
  </cols>
  <sheetData>
    <row r="3" spans="2:27" x14ac:dyDescent="0.35">
      <c r="F3" t="s">
        <v>0</v>
      </c>
      <c r="J3" t="s">
        <v>4</v>
      </c>
      <c r="P3" t="s">
        <v>41</v>
      </c>
      <c r="T3" t="s">
        <v>7</v>
      </c>
      <c r="AA3" t="s">
        <v>11</v>
      </c>
    </row>
    <row r="4" spans="2:27" x14ac:dyDescent="0.35">
      <c r="B4" t="s">
        <v>1</v>
      </c>
      <c r="C4" t="s">
        <v>2</v>
      </c>
      <c r="D4" t="s">
        <v>3</v>
      </c>
      <c r="F4" t="s">
        <v>1</v>
      </c>
      <c r="G4" t="s">
        <v>2</v>
      </c>
      <c r="H4" t="s">
        <v>3</v>
      </c>
      <c r="J4" t="s">
        <v>1</v>
      </c>
      <c r="K4" t="s">
        <v>2</v>
      </c>
      <c r="L4" t="s">
        <v>5</v>
      </c>
      <c r="M4" s="2" t="s">
        <v>3</v>
      </c>
      <c r="N4" t="s">
        <v>6</v>
      </c>
      <c r="P4" t="s">
        <v>1</v>
      </c>
      <c r="Q4" t="s">
        <v>2</v>
      </c>
      <c r="R4" t="s">
        <v>3</v>
      </c>
      <c r="T4" t="s">
        <v>1</v>
      </c>
      <c r="U4" t="s">
        <v>8</v>
      </c>
      <c r="V4" t="s">
        <v>9</v>
      </c>
      <c r="W4" t="s">
        <v>56</v>
      </c>
      <c r="X4" t="s">
        <v>10</v>
      </c>
    </row>
    <row r="5" spans="2:27" x14ac:dyDescent="0.35">
      <c r="B5" t="s">
        <v>96</v>
      </c>
      <c r="D5">
        <v>0.05</v>
      </c>
      <c r="F5" t="s">
        <v>29</v>
      </c>
      <c r="G5" t="s">
        <v>30</v>
      </c>
      <c r="H5">
        <v>8.3140000000000001</v>
      </c>
    </row>
    <row r="6" spans="2:27" x14ac:dyDescent="0.35">
      <c r="B6" t="s">
        <v>97</v>
      </c>
      <c r="D6">
        <f>D5/3600</f>
        <v>1.388888888888889E-5</v>
      </c>
    </row>
    <row r="7" spans="2:27" x14ac:dyDescent="0.35">
      <c r="B7" t="s">
        <v>98</v>
      </c>
      <c r="D7">
        <v>4200</v>
      </c>
      <c r="F7" t="s">
        <v>12</v>
      </c>
      <c r="G7" t="s">
        <v>13</v>
      </c>
      <c r="H7">
        <v>5</v>
      </c>
      <c r="J7" t="s">
        <v>38</v>
      </c>
      <c r="K7" t="s">
        <v>37</v>
      </c>
      <c r="L7">
        <v>700</v>
      </c>
      <c r="M7" s="2">
        <v>100</v>
      </c>
      <c r="N7">
        <v>100</v>
      </c>
      <c r="P7" t="s">
        <v>43</v>
      </c>
      <c r="Q7" t="s">
        <v>42</v>
      </c>
      <c r="R7">
        <v>2.1935169999999999E-3</v>
      </c>
      <c r="T7" t="s">
        <v>55</v>
      </c>
      <c r="U7">
        <f>M10</f>
        <v>5.232848E-3</v>
      </c>
      <c r="V7">
        <f>R8+R9</f>
        <v>5.232848E-3</v>
      </c>
      <c r="W7">
        <f>ABS(U7-V7)</f>
        <v>0</v>
      </c>
      <c r="X7" t="s">
        <v>57</v>
      </c>
    </row>
    <row r="8" spans="2:27" x14ac:dyDescent="0.35">
      <c r="B8" t="s">
        <v>99</v>
      </c>
      <c r="D8">
        <f>269900</f>
        <v>269900</v>
      </c>
      <c r="F8" t="s">
        <v>14</v>
      </c>
      <c r="G8" t="s">
        <v>15</v>
      </c>
      <c r="H8">
        <v>0.03</v>
      </c>
      <c r="J8" t="s">
        <v>39</v>
      </c>
      <c r="K8" t="s">
        <v>18</v>
      </c>
      <c r="L8">
        <v>30</v>
      </c>
      <c r="M8" s="2">
        <v>6</v>
      </c>
      <c r="N8">
        <v>6</v>
      </c>
      <c r="P8" t="s">
        <v>44</v>
      </c>
      <c r="Q8" t="s">
        <v>42</v>
      </c>
      <c r="R8">
        <v>1.6269629999999999E-3</v>
      </c>
      <c r="T8" t="s">
        <v>58</v>
      </c>
      <c r="U8">
        <f>M10*M25</f>
        <v>1.6269629999999999E-3</v>
      </c>
      <c r="V8">
        <f>R8</f>
        <v>1.6269629999999999E-3</v>
      </c>
      <c r="W8">
        <f t="shared" ref="W8:W60" si="0">ABS(U8-V8)</f>
        <v>0</v>
      </c>
      <c r="X8" t="s">
        <v>57</v>
      </c>
    </row>
    <row r="9" spans="2:27" x14ac:dyDescent="0.35">
      <c r="B9" t="s">
        <v>100</v>
      </c>
      <c r="D9">
        <f>1.1*1.72*0.001*0.01802*1000</f>
        <v>3.4093840000000007E-2</v>
      </c>
      <c r="F9" t="s">
        <v>16</v>
      </c>
      <c r="G9" t="s">
        <v>110</v>
      </c>
      <c r="H9">
        <v>0.01</v>
      </c>
      <c r="J9" t="s">
        <v>40</v>
      </c>
      <c r="K9" t="s">
        <v>13</v>
      </c>
      <c r="L9">
        <v>4</v>
      </c>
      <c r="M9" s="2">
        <v>0.8</v>
      </c>
      <c r="N9">
        <v>0.8</v>
      </c>
      <c r="P9" t="s">
        <v>45</v>
      </c>
      <c r="Q9" t="s">
        <v>42</v>
      </c>
      <c r="R9">
        <v>3.6058850000000001E-3</v>
      </c>
      <c r="T9" t="s">
        <v>62</v>
      </c>
      <c r="U9">
        <f>M24*M10</f>
        <v>3.6058850000000001E-3</v>
      </c>
      <c r="V9">
        <f>R9</f>
        <v>3.6058850000000001E-3</v>
      </c>
      <c r="W9">
        <f t="shared" si="0"/>
        <v>0</v>
      </c>
      <c r="X9" t="s">
        <v>57</v>
      </c>
    </row>
    <row r="10" spans="2:27" x14ac:dyDescent="0.35">
      <c r="B10" t="s">
        <v>101</v>
      </c>
      <c r="D10">
        <f>330*24</f>
        <v>7920</v>
      </c>
      <c r="F10" t="s">
        <v>17</v>
      </c>
      <c r="G10" t="s">
        <v>18</v>
      </c>
      <c r="H10">
        <v>15000</v>
      </c>
      <c r="J10" t="s">
        <v>47</v>
      </c>
      <c r="K10" t="s">
        <v>42</v>
      </c>
      <c r="M10" s="2">
        <v>5.232848E-3</v>
      </c>
      <c r="N10" s="1">
        <v>9.9999999999999995E-7</v>
      </c>
      <c r="P10" t="s">
        <v>46</v>
      </c>
      <c r="Q10" t="s">
        <v>42</v>
      </c>
      <c r="R10">
        <v>4.1498700000000002E-4</v>
      </c>
      <c r="T10" t="s">
        <v>61</v>
      </c>
      <c r="U10">
        <f>M11</f>
        <v>2.5120000000000005</v>
      </c>
      <c r="V10">
        <f>3.14*((M9^2)/4)*H7</f>
        <v>2.5120000000000005</v>
      </c>
      <c r="W10">
        <f t="shared" si="0"/>
        <v>0</v>
      </c>
      <c r="X10" t="s">
        <v>63</v>
      </c>
    </row>
    <row r="11" spans="2:27" x14ac:dyDescent="0.35">
      <c r="B11" t="s">
        <v>103</v>
      </c>
      <c r="D11">
        <v>950</v>
      </c>
      <c r="F11" t="s">
        <v>19</v>
      </c>
      <c r="G11" t="s">
        <v>20</v>
      </c>
      <c r="H11">
        <v>100</v>
      </c>
      <c r="J11" t="s">
        <v>48</v>
      </c>
      <c r="K11" t="s">
        <v>65</v>
      </c>
      <c r="L11">
        <v>2.5</v>
      </c>
      <c r="M11" s="2">
        <v>2.5120000000000005</v>
      </c>
      <c r="N11">
        <v>65</v>
      </c>
      <c r="P11" t="s">
        <v>47</v>
      </c>
      <c r="R11">
        <f>R8+R9</f>
        <v>5.232848E-3</v>
      </c>
      <c r="T11" t="s">
        <v>64</v>
      </c>
      <c r="U11">
        <f>M12</f>
        <v>12.074459164849909</v>
      </c>
      <c r="V11">
        <f>M8*(H12/298.15)</f>
        <v>12.074459164849909</v>
      </c>
      <c r="W11">
        <f t="shared" si="0"/>
        <v>0</v>
      </c>
      <c r="X11" t="s">
        <v>66</v>
      </c>
    </row>
    <row r="12" spans="2:27" x14ac:dyDescent="0.35">
      <c r="B12" t="s">
        <v>104</v>
      </c>
      <c r="D12">
        <v>509.7</v>
      </c>
      <c r="F12" t="s">
        <v>21</v>
      </c>
      <c r="G12" t="s">
        <v>22</v>
      </c>
      <c r="H12">
        <v>600</v>
      </c>
      <c r="J12" t="s">
        <v>49</v>
      </c>
      <c r="K12" t="s">
        <v>18</v>
      </c>
      <c r="L12">
        <v>10</v>
      </c>
      <c r="M12" s="2">
        <v>12.074459164849909</v>
      </c>
      <c r="N12">
        <v>68</v>
      </c>
      <c r="T12" t="s">
        <v>67</v>
      </c>
      <c r="U12">
        <f>M15</f>
        <v>250</v>
      </c>
      <c r="V12">
        <f>H14+H15+M7+H16</f>
        <v>250</v>
      </c>
      <c r="W12">
        <f t="shared" si="0"/>
        <v>0</v>
      </c>
      <c r="X12" t="s">
        <v>68</v>
      </c>
    </row>
    <row r="13" spans="2:27" x14ac:dyDescent="0.35">
      <c r="B13" t="s">
        <v>109</v>
      </c>
      <c r="D13">
        <v>156.19999999999999</v>
      </c>
      <c r="F13" t="s">
        <v>26</v>
      </c>
      <c r="G13" t="s">
        <v>24</v>
      </c>
      <c r="H13">
        <v>3</v>
      </c>
      <c r="J13" t="s">
        <v>50</v>
      </c>
      <c r="L13">
        <f>L12*L16*H8</f>
        <v>750</v>
      </c>
      <c r="M13" s="2">
        <v>905.58443736374318</v>
      </c>
      <c r="N13">
        <f>N12*N16*H8</f>
        <v>1020</v>
      </c>
      <c r="P13" t="s">
        <v>82</v>
      </c>
      <c r="Q13" t="s">
        <v>42</v>
      </c>
      <c r="R13">
        <v>0.93683399999999994</v>
      </c>
      <c r="T13" t="s">
        <v>69</v>
      </c>
      <c r="U13">
        <f>M16</f>
        <v>2500</v>
      </c>
      <c r="V13">
        <f>H10/M8</f>
        <v>2500</v>
      </c>
      <c r="W13">
        <f t="shared" si="0"/>
        <v>0</v>
      </c>
      <c r="X13" t="s">
        <v>20</v>
      </c>
    </row>
    <row r="14" spans="2:27" x14ac:dyDescent="0.35">
      <c r="B14" t="s">
        <v>113</v>
      </c>
      <c r="D14">
        <v>100000</v>
      </c>
      <c r="F14" t="s">
        <v>34</v>
      </c>
      <c r="G14" t="s">
        <v>37</v>
      </c>
      <c r="H14">
        <v>50</v>
      </c>
      <c r="J14" t="s">
        <v>51</v>
      </c>
      <c r="L14">
        <f>L13</f>
        <v>750</v>
      </c>
      <c r="M14" s="2">
        <v>905.58443736374318</v>
      </c>
      <c r="N14">
        <f>N13</f>
        <v>1020</v>
      </c>
      <c r="P14" t="s">
        <v>83</v>
      </c>
      <c r="Q14" t="s">
        <v>42</v>
      </c>
      <c r="R14">
        <v>1.315488</v>
      </c>
      <c r="T14" t="s">
        <v>70</v>
      </c>
      <c r="U14">
        <f>M17</f>
        <v>1257.1428571428573</v>
      </c>
      <c r="V14">
        <f>M16*(22/7)*((M9/2)^2)</f>
        <v>1257.1428571428573</v>
      </c>
      <c r="W14">
        <f t="shared" si="0"/>
        <v>0</v>
      </c>
      <c r="X14" t="s">
        <v>73</v>
      </c>
    </row>
    <row r="15" spans="2:27" x14ac:dyDescent="0.35">
      <c r="B15" t="s">
        <v>114</v>
      </c>
      <c r="D15">
        <v>0.1</v>
      </c>
      <c r="F15" t="s">
        <v>35</v>
      </c>
      <c r="G15" t="s">
        <v>37</v>
      </c>
      <c r="H15">
        <v>50</v>
      </c>
      <c r="J15" t="s">
        <v>52</v>
      </c>
      <c r="L15">
        <v>850</v>
      </c>
      <c r="M15" s="2">
        <v>250</v>
      </c>
      <c r="N15">
        <v>250</v>
      </c>
      <c r="P15" t="s">
        <v>84</v>
      </c>
      <c r="Q15" t="s">
        <v>42</v>
      </c>
      <c r="R15">
        <v>0.87078199999999994</v>
      </c>
      <c r="T15" t="s">
        <v>71</v>
      </c>
      <c r="U15">
        <f>M18</f>
        <v>25</v>
      </c>
      <c r="V15">
        <f>M16/H11</f>
        <v>25</v>
      </c>
      <c r="W15">
        <f t="shared" si="0"/>
        <v>0</v>
      </c>
      <c r="X15" t="s">
        <v>20</v>
      </c>
    </row>
    <row r="16" spans="2:27" x14ac:dyDescent="0.35">
      <c r="B16" t="s">
        <v>115</v>
      </c>
      <c r="D16">
        <v>0.7</v>
      </c>
      <c r="F16" t="s">
        <v>36</v>
      </c>
      <c r="G16" t="s">
        <v>37</v>
      </c>
      <c r="H16">
        <v>50</v>
      </c>
      <c r="J16" t="s">
        <v>72</v>
      </c>
      <c r="L16">
        <v>2500</v>
      </c>
      <c r="M16" s="2">
        <v>2500</v>
      </c>
      <c r="N16">
        <v>500</v>
      </c>
      <c r="P16" t="s">
        <v>85</v>
      </c>
      <c r="Q16" t="s">
        <v>42</v>
      </c>
      <c r="R16">
        <v>1.7580999999999999E-2</v>
      </c>
    </row>
    <row r="17" spans="2:24" x14ac:dyDescent="0.35">
      <c r="B17" t="s">
        <v>116</v>
      </c>
      <c r="D17">
        <v>2.5</v>
      </c>
      <c r="J17" t="s">
        <v>53</v>
      </c>
      <c r="L17">
        <v>200</v>
      </c>
      <c r="M17" s="2">
        <v>1257.1428571428573</v>
      </c>
      <c r="N17">
        <v>35000</v>
      </c>
      <c r="T17" t="s">
        <v>74</v>
      </c>
      <c r="U17">
        <f>M13</f>
        <v>905.58443736374318</v>
      </c>
      <c r="V17">
        <f>M12*M16*H8</f>
        <v>905.58443736374318</v>
      </c>
      <c r="W17">
        <f t="shared" si="0"/>
        <v>0</v>
      </c>
      <c r="X17" t="s">
        <v>57</v>
      </c>
    </row>
    <row r="18" spans="2:24" x14ac:dyDescent="0.35">
      <c r="B18" t="s">
        <v>117</v>
      </c>
      <c r="D18">
        <v>394.3</v>
      </c>
      <c r="J18" t="s">
        <v>54</v>
      </c>
      <c r="L18">
        <v>25</v>
      </c>
      <c r="M18" s="2">
        <v>25</v>
      </c>
      <c r="N18">
        <v>5</v>
      </c>
      <c r="T18" t="s">
        <v>75</v>
      </c>
      <c r="U18">
        <f>M14</f>
        <v>905.58443736374318</v>
      </c>
      <c r="V18">
        <f>U17</f>
        <v>905.58443736374318</v>
      </c>
      <c r="W18">
        <f t="shared" si="0"/>
        <v>0</v>
      </c>
      <c r="X18" t="s">
        <v>57</v>
      </c>
    </row>
    <row r="19" spans="2:24" x14ac:dyDescent="0.35">
      <c r="B19" t="s">
        <v>122</v>
      </c>
      <c r="D19">
        <v>70.1643720709327</v>
      </c>
    </row>
    <row r="20" spans="2:24" x14ac:dyDescent="0.35">
      <c r="B20" t="s">
        <v>123</v>
      </c>
      <c r="D20">
        <v>200</v>
      </c>
      <c r="F20" t="s">
        <v>23</v>
      </c>
      <c r="G20" t="s">
        <v>24</v>
      </c>
      <c r="H20">
        <f>H13</f>
        <v>3</v>
      </c>
      <c r="J20" t="s">
        <v>76</v>
      </c>
      <c r="M20" s="2">
        <v>9.9084686378910491E-2</v>
      </c>
      <c r="N20" s="1">
        <v>9.9999999999999995E-7</v>
      </c>
      <c r="T20" t="s">
        <v>79</v>
      </c>
      <c r="U20">
        <f>M22</f>
        <v>13.08212</v>
      </c>
      <c r="V20">
        <f>M10*M16</f>
        <v>13.08212</v>
      </c>
      <c r="W20">
        <f t="shared" si="0"/>
        <v>0</v>
      </c>
      <c r="X20" t="s">
        <v>57</v>
      </c>
    </row>
    <row r="21" spans="2:24" x14ac:dyDescent="0.35">
      <c r="B21" t="s">
        <v>124</v>
      </c>
      <c r="D21">
        <v>1.4999999999999999E-2</v>
      </c>
      <c r="F21" t="s">
        <v>25</v>
      </c>
      <c r="G21" t="s">
        <v>22</v>
      </c>
      <c r="H21">
        <f>H12</f>
        <v>600</v>
      </c>
      <c r="J21" t="s">
        <v>77</v>
      </c>
      <c r="M21" s="2">
        <v>0.105451044684</v>
      </c>
      <c r="N21" s="1">
        <v>9.9999999999999995E-7</v>
      </c>
    </row>
    <row r="22" spans="2:24" x14ac:dyDescent="0.35">
      <c r="B22" t="s">
        <v>127</v>
      </c>
      <c r="D22">
        <v>0.85</v>
      </c>
      <c r="F22" t="s">
        <v>27</v>
      </c>
      <c r="G22" t="s">
        <v>24</v>
      </c>
      <c r="H22">
        <v>9</v>
      </c>
      <c r="J22" t="s">
        <v>78</v>
      </c>
      <c r="M22" s="2">
        <v>13.08212</v>
      </c>
      <c r="N22" s="1">
        <v>9.9999999999999995E-7</v>
      </c>
      <c r="T22" t="s">
        <v>175</v>
      </c>
      <c r="U22">
        <f>M20</f>
        <v>9.9084686378910491E-2</v>
      </c>
      <c r="V22">
        <f>(M22*H5*H21/H25)*(H24/(H24-1))*((H22/H20)^((H24-1)/H24)-1)/1000000</f>
        <v>9.9084686378910491E-2</v>
      </c>
      <c r="W22">
        <f t="shared" si="0"/>
        <v>0</v>
      </c>
    </row>
    <row r="23" spans="2:24" x14ac:dyDescent="0.35">
      <c r="B23" t="s">
        <v>132</v>
      </c>
      <c r="D23">
        <v>50000</v>
      </c>
      <c r="F23" t="s">
        <v>28</v>
      </c>
      <c r="G23" t="s">
        <v>22</v>
      </c>
      <c r="H23">
        <v>323</v>
      </c>
    </row>
    <row r="24" spans="2:24" x14ac:dyDescent="0.35">
      <c r="B24" t="s">
        <v>133</v>
      </c>
      <c r="D24">
        <v>50</v>
      </c>
      <c r="F24" t="s">
        <v>31</v>
      </c>
      <c r="G24" t="s">
        <v>20</v>
      </c>
      <c r="H24">
        <v>1.4</v>
      </c>
      <c r="J24" t="s">
        <v>59</v>
      </c>
      <c r="K24" t="s">
        <v>20</v>
      </c>
      <c r="L24">
        <v>1</v>
      </c>
      <c r="M24" s="2">
        <f>R9/(R9+R8)</f>
        <v>0.6890865165584783</v>
      </c>
      <c r="N24" s="1">
        <v>9.9999999999999995E-7</v>
      </c>
      <c r="O24">
        <v>0.96558376404549395</v>
      </c>
      <c r="T24" t="s">
        <v>80</v>
      </c>
      <c r="U24">
        <f>M21</f>
        <v>0.105451044684</v>
      </c>
      <c r="V24">
        <f>M22*H26*(H21-H23)/1000000</f>
        <v>0.105451044684</v>
      </c>
      <c r="W24">
        <f t="shared" si="0"/>
        <v>0</v>
      </c>
      <c r="X24" t="s">
        <v>92</v>
      </c>
    </row>
    <row r="25" spans="2:24" x14ac:dyDescent="0.35">
      <c r="B25" t="s">
        <v>134</v>
      </c>
      <c r="D25">
        <v>0.6</v>
      </c>
      <c r="F25" t="s">
        <v>32</v>
      </c>
      <c r="G25" t="s">
        <v>20</v>
      </c>
      <c r="H25">
        <v>0.85</v>
      </c>
      <c r="J25" t="s">
        <v>60</v>
      </c>
      <c r="K25" t="s">
        <v>20</v>
      </c>
      <c r="L25">
        <v>1</v>
      </c>
      <c r="M25" s="2">
        <f>1-M24</f>
        <v>0.3109134834415217</v>
      </c>
      <c r="N25" s="1">
        <v>9.9999999999999995E-7</v>
      </c>
      <c r="O25">
        <v>3.4416235954505797E-2</v>
      </c>
    </row>
    <row r="26" spans="2:24" x14ac:dyDescent="0.35">
      <c r="B26" t="s">
        <v>135</v>
      </c>
      <c r="D26">
        <v>2</v>
      </c>
      <c r="F26" t="s">
        <v>33</v>
      </c>
      <c r="G26" t="s">
        <v>30</v>
      </c>
      <c r="H26">
        <v>29.1</v>
      </c>
      <c r="J26" t="s">
        <v>81</v>
      </c>
      <c r="M26" s="2">
        <v>9.9446897273103207</v>
      </c>
      <c r="N26" s="1">
        <v>9.9999999999999995E-7</v>
      </c>
      <c r="T26" t="s">
        <v>86</v>
      </c>
      <c r="U26">
        <f>M26*R14</f>
        <v>13.08212</v>
      </c>
      <c r="V26">
        <f>M22</f>
        <v>13.08212</v>
      </c>
      <c r="W26">
        <f t="shared" si="0"/>
        <v>0</v>
      </c>
      <c r="X26" t="s">
        <v>57</v>
      </c>
    </row>
    <row r="27" spans="2:24" x14ac:dyDescent="0.35">
      <c r="B27" t="s">
        <v>140</v>
      </c>
      <c r="D27">
        <v>603.1</v>
      </c>
      <c r="N27" s="1"/>
      <c r="V27">
        <f>V26/R14</f>
        <v>9.9446897273103207</v>
      </c>
    </row>
    <row r="28" spans="2:24" x14ac:dyDescent="0.35">
      <c r="B28" t="s">
        <v>143</v>
      </c>
      <c r="D28">
        <v>7072.6943346505104</v>
      </c>
      <c r="N28" s="1"/>
      <c r="T28" t="s">
        <v>87</v>
      </c>
      <c r="U28">
        <f>M24+M25</f>
        <v>1</v>
      </c>
      <c r="V28">
        <f>1</f>
        <v>1</v>
      </c>
      <c r="W28">
        <f t="shared" si="0"/>
        <v>0</v>
      </c>
      <c r="X28" t="s">
        <v>20</v>
      </c>
    </row>
    <row r="29" spans="2:24" x14ac:dyDescent="0.35">
      <c r="B29" t="s">
        <v>144</v>
      </c>
      <c r="D29">
        <v>157.929826191367</v>
      </c>
    </row>
    <row r="30" spans="2:24" x14ac:dyDescent="0.35">
      <c r="B30" t="s">
        <v>152</v>
      </c>
      <c r="D30">
        <v>10</v>
      </c>
    </row>
    <row r="31" spans="2:24" x14ac:dyDescent="0.35">
      <c r="B31" t="s">
        <v>153</v>
      </c>
      <c r="D31">
        <v>10</v>
      </c>
      <c r="J31" t="s">
        <v>94</v>
      </c>
      <c r="M31" s="2">
        <v>97669530.648470938</v>
      </c>
      <c r="N31" s="1">
        <v>9.9999999999999995E-7</v>
      </c>
    </row>
    <row r="32" spans="2:24" x14ac:dyDescent="0.35">
      <c r="B32" t="s">
        <v>158</v>
      </c>
      <c r="D32">
        <v>4.99955553670135E-2</v>
      </c>
      <c r="J32" t="s">
        <v>95</v>
      </c>
      <c r="M32" s="2">
        <v>1026552406.5067919</v>
      </c>
      <c r="N32" s="1">
        <v>9.9999999999999995E-7</v>
      </c>
    </row>
    <row r="33" spans="2:23" x14ac:dyDescent="0.35">
      <c r="B33" t="s">
        <v>166</v>
      </c>
      <c r="D33">
        <v>9.9999999999999998E-13</v>
      </c>
      <c r="T33" t="s">
        <v>93</v>
      </c>
      <c r="U33">
        <f>M31</f>
        <v>97669530.648470938</v>
      </c>
      <c r="V33">
        <f>((M13*3.6*D6*D8)+(M14*3.6*D9))*D10</f>
        <v>97669530.648470938</v>
      </c>
      <c r="W33">
        <f t="shared" si="0"/>
        <v>0</v>
      </c>
    </row>
    <row r="34" spans="2:23" x14ac:dyDescent="0.35">
      <c r="B34" t="s">
        <v>167</v>
      </c>
      <c r="D34">
        <v>20</v>
      </c>
      <c r="J34" t="s">
        <v>106</v>
      </c>
      <c r="L34">
        <f>2*((53000 + (28000 * ((N11*0.000001*H11)^0.8))) * L18 * D11/D12)</f>
        <v>4985617.2880248176</v>
      </c>
      <c r="M34" s="2">
        <v>4942619.8643870633</v>
      </c>
      <c r="N34">
        <f>2*((53000 + (28000 * ((L11*0.000001*H11)^0.8))) * N18 * D11/D12)</f>
        <v>988521.3423542981</v>
      </c>
      <c r="T34" t="s">
        <v>102</v>
      </c>
      <c r="U34">
        <f>M32</f>
        <v>1026552406.5067919</v>
      </c>
      <c r="V34">
        <f>M13*3.6*D8*D7/3600</f>
        <v>1026552406.5067919</v>
      </c>
      <c r="W34">
        <f t="shared" si="0"/>
        <v>0</v>
      </c>
    </row>
    <row r="35" spans="2:23" x14ac:dyDescent="0.35">
      <c r="J35" t="s">
        <v>107</v>
      </c>
      <c r="L35">
        <f>(0.18*M34) + (D13*H9*L16/10)</f>
        <v>890062.07558967138</v>
      </c>
      <c r="M35" s="2">
        <v>890062.07558967138</v>
      </c>
      <c r="N35">
        <f>(0.18*M34) + (D13*H9*N16/10)</f>
        <v>889749.67558967136</v>
      </c>
    </row>
    <row r="36" spans="2:23" x14ac:dyDescent="0.35">
      <c r="T36" t="s">
        <v>105</v>
      </c>
      <c r="U36">
        <f>M34</f>
        <v>4942619.8643870633</v>
      </c>
      <c r="V36">
        <f>2*((53000 + (28000 * ((M11*0.000001*H11)^0.8))) * M18 * D11/D12)</f>
        <v>4942619.8643870633</v>
      </c>
      <c r="W36">
        <f t="shared" si="0"/>
        <v>0</v>
      </c>
    </row>
    <row r="37" spans="2:23" x14ac:dyDescent="0.35">
      <c r="J37" t="s">
        <v>111</v>
      </c>
      <c r="M37" s="2">
        <v>248395.9931715588</v>
      </c>
      <c r="T37" t="s">
        <v>108</v>
      </c>
      <c r="U37">
        <f>M35</f>
        <v>890062.07558967138</v>
      </c>
      <c r="V37">
        <f>(0.18*M34) + (D13*H9*M16/10)</f>
        <v>890062.07558967138</v>
      </c>
      <c r="W37">
        <f t="shared" si="0"/>
        <v>0</v>
      </c>
    </row>
    <row r="38" spans="2:23" x14ac:dyDescent="0.35">
      <c r="J38" t="s">
        <v>118</v>
      </c>
      <c r="M38" s="2">
        <v>706193.02141850721</v>
      </c>
    </row>
    <row r="39" spans="2:23" x14ac:dyDescent="0.35">
      <c r="J39" t="s">
        <v>119</v>
      </c>
      <c r="M39" s="2">
        <v>127114.7438553313</v>
      </c>
      <c r="T39" t="s">
        <v>112</v>
      </c>
      <c r="U39">
        <f>M37</f>
        <v>248395.9931715588</v>
      </c>
      <c r="V39">
        <f>D14*((M20/D15)^D16)*D17</f>
        <v>248395.9931715588</v>
      </c>
      <c r="W39">
        <f t="shared" si="0"/>
        <v>0</v>
      </c>
    </row>
    <row r="40" spans="2:23" x14ac:dyDescent="0.35">
      <c r="T40" t="s">
        <v>120</v>
      </c>
      <c r="U40">
        <f>M38</f>
        <v>706193.02141850721</v>
      </c>
      <c r="V40">
        <f>1.18*M37*(D11/D18)</f>
        <v>706193.02141850721</v>
      </c>
      <c r="W40">
        <f t="shared" si="0"/>
        <v>0</v>
      </c>
    </row>
    <row r="41" spans="2:23" x14ac:dyDescent="0.35">
      <c r="T41" t="s">
        <v>121</v>
      </c>
      <c r="U41">
        <f>M39</f>
        <v>127114.7438553313</v>
      </c>
      <c r="V41">
        <f>0.18*M38</f>
        <v>127114.7438553313</v>
      </c>
      <c r="W41">
        <f t="shared" si="0"/>
        <v>0</v>
      </c>
    </row>
    <row r="42" spans="2:23" x14ac:dyDescent="0.35">
      <c r="J42" t="s">
        <v>126</v>
      </c>
      <c r="M42" s="2">
        <v>7.5145719666239046</v>
      </c>
    </row>
    <row r="43" spans="2:23" x14ac:dyDescent="0.35">
      <c r="J43" t="s">
        <v>129</v>
      </c>
      <c r="M43" s="2">
        <v>8.9633387981399998E-2</v>
      </c>
      <c r="T43" t="s">
        <v>125</v>
      </c>
      <c r="U43">
        <f>M42</f>
        <v>7.5145719666239046</v>
      </c>
      <c r="V43">
        <f>M21*1000000/(D20*D19)</f>
        <v>7.5145719666239046</v>
      </c>
      <c r="W43">
        <f t="shared" si="0"/>
        <v>0</v>
      </c>
    </row>
    <row r="44" spans="2:23" x14ac:dyDescent="0.35">
      <c r="J44" t="s">
        <v>130</v>
      </c>
      <c r="M44" s="2">
        <v>4.8402029509956002</v>
      </c>
      <c r="T44" t="s">
        <v>128</v>
      </c>
      <c r="U44">
        <f>M43</f>
        <v>8.9633387981399998E-2</v>
      </c>
      <c r="V44">
        <f>M21*D22</f>
        <v>8.9633387981399998E-2</v>
      </c>
      <c r="W44">
        <f t="shared" si="0"/>
        <v>0</v>
      </c>
    </row>
    <row r="45" spans="2:23" x14ac:dyDescent="0.35">
      <c r="J45" t="s">
        <v>136</v>
      </c>
      <c r="M45" s="2">
        <v>32074.548093945756</v>
      </c>
      <c r="T45" t="s">
        <v>131</v>
      </c>
      <c r="U45">
        <f>M44</f>
        <v>4.8402029509956002</v>
      </c>
      <c r="V45">
        <f>M43*3600*D21</f>
        <v>4.8402029509956002</v>
      </c>
      <c r="W45">
        <f t="shared" si="0"/>
        <v>0</v>
      </c>
    </row>
    <row r="46" spans="2:23" x14ac:dyDescent="0.35">
      <c r="J46" t="s">
        <v>137</v>
      </c>
      <c r="M46" s="2">
        <v>59617.921428143236</v>
      </c>
    </row>
    <row r="47" spans="2:23" x14ac:dyDescent="0.35">
      <c r="J47" t="s">
        <v>138</v>
      </c>
      <c r="M47" s="2">
        <v>10731.225857065781</v>
      </c>
      <c r="T47" t="s">
        <v>131</v>
      </c>
      <c r="U47">
        <f>M45</f>
        <v>32074.548093945756</v>
      </c>
      <c r="V47">
        <f>D23*((M42/D24)^D25)*D26</f>
        <v>32074.548093945756</v>
      </c>
      <c r="W47">
        <f t="shared" si="0"/>
        <v>0</v>
      </c>
    </row>
    <row r="48" spans="2:23" x14ac:dyDescent="0.35">
      <c r="J48" t="s">
        <v>145</v>
      </c>
      <c r="M48" s="2">
        <v>199965.44896830744</v>
      </c>
      <c r="T48" t="s">
        <v>139</v>
      </c>
      <c r="U48">
        <f>M46</f>
        <v>59617.921428143236</v>
      </c>
      <c r="V48">
        <f>1.18*M45*D11/D27</f>
        <v>59617.921428143236</v>
      </c>
      <c r="W48">
        <f t="shared" si="0"/>
        <v>0</v>
      </c>
    </row>
    <row r="49" spans="10:23" x14ac:dyDescent="0.35">
      <c r="J49" t="s">
        <v>147</v>
      </c>
      <c r="M49" s="2">
        <v>37564.343934456527</v>
      </c>
      <c r="T49" t="s">
        <v>141</v>
      </c>
      <c r="U49">
        <f>M47</f>
        <v>10731.225857065781</v>
      </c>
      <c r="V49">
        <f>0.18*M46</f>
        <v>10731.225857065781</v>
      </c>
      <c r="W49">
        <f t="shared" si="0"/>
        <v>0</v>
      </c>
    </row>
    <row r="51" spans="10:23" x14ac:dyDescent="0.35">
      <c r="T51" t="s">
        <v>142</v>
      </c>
      <c r="U51">
        <f>M48</f>
        <v>199965.44896830744</v>
      </c>
      <c r="V51">
        <f>1.18*M26*D28*D11/D18</f>
        <v>199965.44896830744</v>
      </c>
      <c r="W51">
        <f t="shared" si="0"/>
        <v>0</v>
      </c>
    </row>
    <row r="52" spans="10:23" x14ac:dyDescent="0.35">
      <c r="J52" t="s">
        <v>148</v>
      </c>
      <c r="M52" s="2">
        <v>2557225.4507633466</v>
      </c>
      <c r="T52" t="s">
        <v>146</v>
      </c>
      <c r="U52">
        <f>M49</f>
        <v>37564.343934456527</v>
      </c>
      <c r="V52">
        <f>(0.18*M48)+(D29*M26)</f>
        <v>37564.343934456527</v>
      </c>
      <c r="W52">
        <f t="shared" si="0"/>
        <v>0</v>
      </c>
    </row>
    <row r="53" spans="10:23" x14ac:dyDescent="0.35">
      <c r="J53" t="s">
        <v>149</v>
      </c>
      <c r="M53" s="2">
        <v>49849.693688126681</v>
      </c>
    </row>
    <row r="54" spans="10:23" x14ac:dyDescent="0.35">
      <c r="J54" t="s">
        <v>150</v>
      </c>
      <c r="M54" s="2">
        <v>2469041.3497033347</v>
      </c>
      <c r="T54" t="s">
        <v>154</v>
      </c>
      <c r="U54">
        <f>M53</f>
        <v>49849.693688126681</v>
      </c>
      <c r="V54">
        <f>R16*3.6*M26*D31*D10</f>
        <v>49849.693688126681</v>
      </c>
      <c r="W54">
        <f t="shared" si="0"/>
        <v>0</v>
      </c>
    </row>
    <row r="55" spans="10:23" x14ac:dyDescent="0.35">
      <c r="J55" t="s">
        <v>151</v>
      </c>
      <c r="M55" s="2">
        <v>38334.40737188515</v>
      </c>
      <c r="T55" t="s">
        <v>155</v>
      </c>
      <c r="U55">
        <f>M54</f>
        <v>2469041.3497033347</v>
      </c>
      <c r="V55">
        <f>R15*3.6*M26*D30*D10</f>
        <v>2469041.3497033347</v>
      </c>
      <c r="W55">
        <f t="shared" si="0"/>
        <v>0</v>
      </c>
    </row>
    <row r="56" spans="10:23" x14ac:dyDescent="0.35">
      <c r="T56" t="s">
        <v>156</v>
      </c>
      <c r="U56">
        <f>M55</f>
        <v>38334.40737188515</v>
      </c>
      <c r="V56">
        <f>M44*D10</f>
        <v>38334.40737188515</v>
      </c>
      <c r="W56">
        <f t="shared" si="0"/>
        <v>0</v>
      </c>
    </row>
    <row r="57" spans="10:23" x14ac:dyDescent="0.35">
      <c r="J57" t="s">
        <v>159</v>
      </c>
      <c r="M57" s="2">
        <v>51618451.228808463</v>
      </c>
      <c r="T57" t="s">
        <v>157</v>
      </c>
      <c r="U57">
        <f>M52</f>
        <v>2557225.4507633466</v>
      </c>
      <c r="V57">
        <f>M53+M54+M55</f>
        <v>2557225.4507633466</v>
      </c>
      <c r="W57">
        <f t="shared" si="0"/>
        <v>0</v>
      </c>
    </row>
    <row r="58" spans="10:23" x14ac:dyDescent="0.35">
      <c r="J58" t="s">
        <v>160</v>
      </c>
      <c r="M58" s="2">
        <v>98735003.037707463</v>
      </c>
    </row>
    <row r="59" spans="10:23" x14ac:dyDescent="0.35">
      <c r="T59" t="s">
        <v>161</v>
      </c>
      <c r="U59">
        <f>M57</f>
        <v>51618451.228808463</v>
      </c>
      <c r="V59">
        <f>(M32+M34+M38+M46+M48)*D32</f>
        <v>51618451.228808463</v>
      </c>
      <c r="W59">
        <f>ABS(U59-V59)</f>
        <v>0</v>
      </c>
    </row>
    <row r="60" spans="10:23" x14ac:dyDescent="0.35">
      <c r="T60" t="s">
        <v>162</v>
      </c>
      <c r="U60">
        <f>M58</f>
        <v>98735003.037707463</v>
      </c>
      <c r="V60">
        <f>M31+M35+M39+M47+M49</f>
        <v>98735003.037707463</v>
      </c>
      <c r="W60">
        <f t="shared" si="0"/>
        <v>0</v>
      </c>
    </row>
    <row r="62" spans="10:23" x14ac:dyDescent="0.35">
      <c r="J62" t="s">
        <v>163</v>
      </c>
      <c r="M62" s="2">
        <f>M58+M57-M52</f>
        <v>147796228.81575257</v>
      </c>
    </row>
    <row r="63" spans="10:23" x14ac:dyDescent="0.35">
      <c r="T63" t="s">
        <v>164</v>
      </c>
      <c r="U63">
        <f>M65</f>
        <v>-2956187359.7105913</v>
      </c>
      <c r="V63">
        <f>((M52-M58)/D33)*(1-(1/((1+D33)^D34)))-(M57/D32)</f>
        <v>-2956187359.7105913</v>
      </c>
      <c r="W63">
        <f t="shared" ref="W63:W66" si="1">ABS(U63-V63)</f>
        <v>0</v>
      </c>
    </row>
    <row r="64" spans="10:23" x14ac:dyDescent="0.35">
      <c r="T64" t="s">
        <v>168</v>
      </c>
      <c r="U64">
        <f>M66</f>
        <v>302.06090493658706</v>
      </c>
      <c r="V64">
        <f>(M57+M58)/(R15*3.6*M26*D10*(2.016))</f>
        <v>302.06090493658706</v>
      </c>
      <c r="W64">
        <f t="shared" si="1"/>
        <v>0</v>
      </c>
    </row>
    <row r="65" spans="10:23" x14ac:dyDescent="0.35">
      <c r="J65" t="s">
        <v>165</v>
      </c>
      <c r="M65" s="2">
        <v>-2956187359.7105913</v>
      </c>
      <c r="T65" t="s">
        <v>169</v>
      </c>
      <c r="U65">
        <f>M67</f>
        <v>1880.0323946942156</v>
      </c>
      <c r="V65">
        <f>(M57+M58)/(R16*3.6*M26*D10*(16.043))</f>
        <v>1880.0323946942156</v>
      </c>
      <c r="W65">
        <f t="shared" si="1"/>
        <v>0</v>
      </c>
    </row>
    <row r="66" spans="10:23" x14ac:dyDescent="0.35">
      <c r="J66" t="s">
        <v>170</v>
      </c>
      <c r="M66" s="2">
        <v>302.06090493658706</v>
      </c>
      <c r="T66" t="s">
        <v>172</v>
      </c>
      <c r="U66">
        <f>M68</f>
        <v>260.24748187784468</v>
      </c>
      <c r="V66">
        <f>(M57+M58)/((R15*3.6*M26*D10*(2.016))+(R16*3.6*M26*D10*(16.043)))</f>
        <v>260.24748187784468</v>
      </c>
      <c r="W66">
        <f t="shared" si="1"/>
        <v>0</v>
      </c>
    </row>
    <row r="67" spans="10:23" x14ac:dyDescent="0.35">
      <c r="J67" t="s">
        <v>171</v>
      </c>
      <c r="M67" s="2">
        <v>1880.0323946942156</v>
      </c>
    </row>
    <row r="68" spans="10:23" x14ac:dyDescent="0.35">
      <c r="J68" t="s">
        <v>174</v>
      </c>
      <c r="M68" s="2">
        <v>260.24748187784468</v>
      </c>
      <c r="T68" t="s">
        <v>176</v>
      </c>
      <c r="U68">
        <f>M70</f>
        <v>0.24768257002298708</v>
      </c>
      <c r="V68">
        <f>(M52/(M57/D32))*100</f>
        <v>0.24768257002298708</v>
      </c>
      <c r="W68">
        <f t="shared" ref="W68" si="2">ABS(U68-V68)</f>
        <v>0</v>
      </c>
    </row>
    <row r="70" spans="10:23" x14ac:dyDescent="0.35">
      <c r="J70" t="s">
        <v>177</v>
      </c>
      <c r="M70" s="2">
        <v>0.24768257002298708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0B4C-6D46-4301-902C-D5B802C06DFB}">
  <dimension ref="B3:AK84"/>
  <sheetViews>
    <sheetView tabSelected="1" topLeftCell="H68" workbookViewId="0">
      <selection activeCell="S85" sqref="S85"/>
    </sheetView>
  </sheetViews>
  <sheetFormatPr defaultRowHeight="14.5" x14ac:dyDescent="0.35"/>
  <cols>
    <col min="4" max="4" width="11.81640625" bestFit="1" customWidth="1"/>
    <col min="13" max="13" width="11.81640625" style="2" bestFit="1" customWidth="1"/>
    <col min="18" max="18" width="11.81640625" bestFit="1" customWidth="1"/>
    <col min="21" max="21" width="14.08984375" bestFit="1" customWidth="1"/>
    <col min="22" max="22" width="14.54296875" customWidth="1"/>
    <col min="35" max="35" width="11.81640625" bestFit="1" customWidth="1"/>
  </cols>
  <sheetData>
    <row r="3" spans="2:37" x14ac:dyDescent="0.35">
      <c r="F3" t="s">
        <v>0</v>
      </c>
      <c r="J3" t="s">
        <v>4</v>
      </c>
      <c r="P3" t="s">
        <v>41</v>
      </c>
      <c r="T3" t="s">
        <v>7</v>
      </c>
      <c r="AA3" t="s">
        <v>11</v>
      </c>
    </row>
    <row r="4" spans="2:37" x14ac:dyDescent="0.35">
      <c r="B4" t="s">
        <v>1</v>
      </c>
      <c r="C4" t="s">
        <v>2</v>
      </c>
      <c r="D4" t="s">
        <v>3</v>
      </c>
      <c r="F4" t="s">
        <v>1</v>
      </c>
      <c r="G4" t="s">
        <v>2</v>
      </c>
      <c r="H4" t="s">
        <v>3</v>
      </c>
      <c r="J4" t="s">
        <v>1</v>
      </c>
      <c r="K4" t="s">
        <v>2</v>
      </c>
      <c r="L4" t="s">
        <v>5</v>
      </c>
      <c r="M4" s="2" t="s">
        <v>3</v>
      </c>
      <c r="N4" t="s">
        <v>6</v>
      </c>
      <c r="P4" t="s">
        <v>1</v>
      </c>
      <c r="Q4" t="s">
        <v>2</v>
      </c>
      <c r="R4" t="s">
        <v>3</v>
      </c>
      <c r="T4" t="s">
        <v>1</v>
      </c>
      <c r="U4" t="s">
        <v>8</v>
      </c>
      <c r="V4" t="s">
        <v>9</v>
      </c>
      <c r="W4" t="s">
        <v>56</v>
      </c>
      <c r="X4" t="s">
        <v>10</v>
      </c>
    </row>
    <row r="5" spans="2:37" x14ac:dyDescent="0.35">
      <c r="B5" t="s">
        <v>96</v>
      </c>
      <c r="D5">
        <v>0.05</v>
      </c>
      <c r="F5" t="s">
        <v>29</v>
      </c>
      <c r="G5" t="s">
        <v>30</v>
      </c>
      <c r="H5">
        <v>8.3140000000000001</v>
      </c>
    </row>
    <row r="6" spans="2:37" x14ac:dyDescent="0.35">
      <c r="B6" t="s">
        <v>97</v>
      </c>
      <c r="D6">
        <f>D5/3600</f>
        <v>1.388888888888889E-5</v>
      </c>
      <c r="T6" s="2" t="s">
        <v>188</v>
      </c>
      <c r="U6" s="4">
        <f>M73+M74+M75</f>
        <v>905.58443736374318</v>
      </c>
      <c r="V6" s="2">
        <f>M12*M16*H8</f>
        <v>905.58443736374318</v>
      </c>
      <c r="W6" s="2">
        <f>ABS(U6-V6)</f>
        <v>0</v>
      </c>
    </row>
    <row r="7" spans="2:37" x14ac:dyDescent="0.35">
      <c r="B7" t="s">
        <v>98</v>
      </c>
      <c r="D7">
        <v>4200</v>
      </c>
      <c r="F7" t="s">
        <v>12</v>
      </c>
      <c r="G7" t="s">
        <v>13</v>
      </c>
      <c r="H7">
        <v>5</v>
      </c>
      <c r="J7" t="s">
        <v>38</v>
      </c>
      <c r="K7" t="s">
        <v>37</v>
      </c>
      <c r="L7">
        <v>700</v>
      </c>
      <c r="M7" s="2">
        <v>375.99874430952298</v>
      </c>
      <c r="N7">
        <v>100</v>
      </c>
      <c r="P7" t="s">
        <v>43</v>
      </c>
      <c r="Q7" t="s">
        <v>42</v>
      </c>
      <c r="R7">
        <v>7.3118280000000003E-3</v>
      </c>
      <c r="T7" t="s">
        <v>55</v>
      </c>
      <c r="U7">
        <f>M10</f>
        <v>0.118159969</v>
      </c>
      <c r="V7">
        <f>R8+R9</f>
        <v>0.118159969</v>
      </c>
      <c r="W7">
        <f>ABS(U7-V7)</f>
        <v>0</v>
      </c>
      <c r="X7" t="s">
        <v>57</v>
      </c>
    </row>
    <row r="8" spans="2:37" x14ac:dyDescent="0.35">
      <c r="B8" t="s">
        <v>99</v>
      </c>
      <c r="D8">
        <f>269900</f>
        <v>269900</v>
      </c>
      <c r="F8" t="s">
        <v>14</v>
      </c>
      <c r="G8" t="s">
        <v>15</v>
      </c>
      <c r="H8">
        <v>0.03</v>
      </c>
      <c r="J8" t="s">
        <v>39</v>
      </c>
      <c r="K8" t="s">
        <v>18</v>
      </c>
      <c r="L8">
        <v>30</v>
      </c>
      <c r="M8" s="2">
        <v>20.000287733306902</v>
      </c>
      <c r="N8">
        <v>6</v>
      </c>
      <c r="P8" t="s">
        <v>44</v>
      </c>
      <c r="Q8" t="s">
        <v>42</v>
      </c>
      <c r="R8">
        <v>4.0661610000000004E-3</v>
      </c>
      <c r="T8" t="s">
        <v>58</v>
      </c>
      <c r="U8">
        <f>M10*M25</f>
        <v>4.066160999999997E-3</v>
      </c>
      <c r="V8">
        <f>R8</f>
        <v>4.0661610000000004E-3</v>
      </c>
      <c r="W8">
        <f>ABS(U8-V8)</f>
        <v>3.4694469519536142E-18</v>
      </c>
      <c r="X8" t="s">
        <v>57</v>
      </c>
    </row>
    <row r="9" spans="2:37" x14ac:dyDescent="0.35">
      <c r="B9" t="s">
        <v>100</v>
      </c>
      <c r="D9">
        <f>1.1*1.72*0.001*0.01802*1000</f>
        <v>3.4093840000000007E-2</v>
      </c>
      <c r="F9" t="s">
        <v>16</v>
      </c>
      <c r="G9" t="s">
        <v>110</v>
      </c>
      <c r="H9">
        <v>0.01</v>
      </c>
      <c r="J9" t="s">
        <v>40</v>
      </c>
      <c r="K9" t="s">
        <v>13</v>
      </c>
      <c r="L9">
        <v>4</v>
      </c>
      <c r="M9" s="2">
        <v>2.5090987188643998</v>
      </c>
      <c r="N9">
        <v>0.8</v>
      </c>
      <c r="P9" t="s">
        <v>45</v>
      </c>
      <c r="Q9" t="s">
        <v>42</v>
      </c>
      <c r="R9">
        <v>0.114093808</v>
      </c>
      <c r="T9" t="s">
        <v>62</v>
      </c>
      <c r="U9">
        <f>M24*M10</f>
        <v>0.114093808</v>
      </c>
      <c r="V9">
        <f>R9</f>
        <v>0.114093808</v>
      </c>
      <c r="W9">
        <f t="shared" ref="W9:W61" si="0">ABS(U9-V9)</f>
        <v>0</v>
      </c>
      <c r="X9" t="s">
        <v>57</v>
      </c>
    </row>
    <row r="10" spans="2:37" x14ac:dyDescent="0.35">
      <c r="B10" t="s">
        <v>101</v>
      </c>
      <c r="D10">
        <f>330*24</f>
        <v>7920</v>
      </c>
      <c r="F10" t="s">
        <v>17</v>
      </c>
      <c r="G10" t="s">
        <v>18</v>
      </c>
      <c r="H10">
        <v>15000</v>
      </c>
      <c r="J10" t="s">
        <v>47</v>
      </c>
      <c r="K10" t="s">
        <v>42</v>
      </c>
      <c r="M10" s="2">
        <v>0.118159969</v>
      </c>
      <c r="N10" s="1">
        <v>9.9999999999999995E-7</v>
      </c>
      <c r="P10" t="s">
        <v>46</v>
      </c>
      <c r="Q10" t="s">
        <v>42</v>
      </c>
      <c r="R10">
        <v>2.2683499999999999E-4</v>
      </c>
      <c r="T10" t="s">
        <v>61</v>
      </c>
      <c r="U10">
        <f>M11</f>
        <v>24.71013729545237</v>
      </c>
      <c r="V10">
        <f>3.14*((M9^2)/4)*H7</f>
        <v>24.71013729545237</v>
      </c>
      <c r="W10">
        <f t="shared" si="0"/>
        <v>0</v>
      </c>
      <c r="X10" t="s">
        <v>63</v>
      </c>
    </row>
    <row r="11" spans="2:37" x14ac:dyDescent="0.35">
      <c r="B11" t="s">
        <v>103</v>
      </c>
      <c r="D11">
        <v>950</v>
      </c>
      <c r="F11" t="s">
        <v>19</v>
      </c>
      <c r="G11" t="s">
        <v>20</v>
      </c>
      <c r="H11">
        <v>100</v>
      </c>
      <c r="J11" t="s">
        <v>48</v>
      </c>
      <c r="K11" t="s">
        <v>65</v>
      </c>
      <c r="L11">
        <v>2.5</v>
      </c>
      <c r="M11" s="2">
        <v>24.71013729545237</v>
      </c>
      <c r="N11">
        <v>65</v>
      </c>
      <c r="P11" t="s">
        <v>47</v>
      </c>
      <c r="R11">
        <f>R8+R9</f>
        <v>0.118159969</v>
      </c>
      <c r="T11" t="s">
        <v>64</v>
      </c>
      <c r="U11">
        <f>M12</f>
        <v>40.248776253510457</v>
      </c>
      <c r="V11">
        <f>M8*(H12/298.15)</f>
        <v>40.248776253510457</v>
      </c>
      <c r="W11">
        <f t="shared" si="0"/>
        <v>0</v>
      </c>
      <c r="X11" t="s">
        <v>66</v>
      </c>
    </row>
    <row r="12" spans="2:37" x14ac:dyDescent="0.35">
      <c r="B12" t="s">
        <v>104</v>
      </c>
      <c r="D12">
        <v>509.7</v>
      </c>
      <c r="F12" t="s">
        <v>21</v>
      </c>
      <c r="G12" t="s">
        <v>22</v>
      </c>
      <c r="H12">
        <v>600</v>
      </c>
      <c r="J12" t="s">
        <v>49</v>
      </c>
      <c r="K12" t="s">
        <v>18</v>
      </c>
      <c r="L12">
        <v>10</v>
      </c>
      <c r="M12" s="2">
        <v>40.248776253510457</v>
      </c>
      <c r="N12">
        <v>68</v>
      </c>
      <c r="T12" t="s">
        <v>67</v>
      </c>
      <c r="U12">
        <f>M15</f>
        <v>525.99874430952298</v>
      </c>
      <c r="V12">
        <f>H14+H15+M7+H16</f>
        <v>525.99874430952298</v>
      </c>
      <c r="W12">
        <f t="shared" si="0"/>
        <v>0</v>
      </c>
      <c r="X12" t="s">
        <v>68</v>
      </c>
      <c r="AA12" t="s">
        <v>182</v>
      </c>
      <c r="AB12" t="s">
        <v>178</v>
      </c>
      <c r="AC12">
        <f>M13</f>
        <v>905.58443736374318</v>
      </c>
      <c r="AD12" t="s">
        <v>42</v>
      </c>
      <c r="AE12">
        <f>AC12*2.016</f>
        <v>1825.6582257253062</v>
      </c>
      <c r="AF12" t="s">
        <v>179</v>
      </c>
      <c r="AG12">
        <f>AE12*3600</f>
        <v>6572369.6126111029</v>
      </c>
      <c r="AH12" t="s">
        <v>180</v>
      </c>
      <c r="AI12">
        <f>AG12*D10</f>
        <v>52053167331.879936</v>
      </c>
      <c r="AJ12" t="s">
        <v>181</v>
      </c>
      <c r="AK12">
        <f>((M31)+(M32*D32))/AI12</f>
        <v>2.309186291113108E-3</v>
      </c>
    </row>
    <row r="13" spans="2:37" x14ac:dyDescent="0.35">
      <c r="B13" t="s">
        <v>109</v>
      </c>
      <c r="D13">
        <v>156.19999999999999</v>
      </c>
      <c r="F13" t="s">
        <v>26</v>
      </c>
      <c r="G13" t="s">
        <v>24</v>
      </c>
      <c r="H13">
        <v>3</v>
      </c>
      <c r="J13" t="s">
        <v>50</v>
      </c>
      <c r="L13">
        <f>L12*L16*H8</f>
        <v>750</v>
      </c>
      <c r="M13" s="2">
        <v>905.58443736374318</v>
      </c>
      <c r="N13">
        <f>N12*N16*H8</f>
        <v>1020</v>
      </c>
      <c r="P13" t="s">
        <v>82</v>
      </c>
      <c r="Q13" t="s">
        <v>42</v>
      </c>
      <c r="R13">
        <v>1.3173539999999999</v>
      </c>
      <c r="T13" t="s">
        <v>69</v>
      </c>
      <c r="U13">
        <f>M16</f>
        <v>749.98921015622102</v>
      </c>
      <c r="V13">
        <f>H10/M8</f>
        <v>749.98921015622102</v>
      </c>
      <c r="W13">
        <f t="shared" si="0"/>
        <v>0</v>
      </c>
      <c r="X13" t="s">
        <v>20</v>
      </c>
      <c r="AA13" t="s">
        <v>183</v>
      </c>
      <c r="AB13" t="s">
        <v>178</v>
      </c>
      <c r="AC13">
        <f>R15*M26</f>
        <v>77.465353536964571</v>
      </c>
      <c r="AD13" t="s">
        <v>42</v>
      </c>
      <c r="AE13">
        <f>AC13*2.016</f>
        <v>156.17015273052058</v>
      </c>
      <c r="AF13" t="s">
        <v>179</v>
      </c>
      <c r="AG13">
        <f>AE13*3600</f>
        <v>562212.54982987407</v>
      </c>
      <c r="AH13" t="s">
        <v>180</v>
      </c>
    </row>
    <row r="14" spans="2:37" x14ac:dyDescent="0.35">
      <c r="B14" t="s">
        <v>113</v>
      </c>
      <c r="D14">
        <v>100000</v>
      </c>
      <c r="F14" t="s">
        <v>34</v>
      </c>
      <c r="G14" t="s">
        <v>37</v>
      </c>
      <c r="H14">
        <v>50</v>
      </c>
      <c r="J14" t="s">
        <v>51</v>
      </c>
      <c r="L14" s="1">
        <v>9.9999999999999995E-7</v>
      </c>
      <c r="M14" s="2">
        <v>730.58443736374318</v>
      </c>
      <c r="N14">
        <f>N13</f>
        <v>1020</v>
      </c>
      <c r="P14" t="s">
        <v>83</v>
      </c>
      <c r="Q14" t="s">
        <v>42</v>
      </c>
      <c r="R14">
        <v>1.3580970000000001</v>
      </c>
      <c r="T14" t="s">
        <v>70</v>
      </c>
      <c r="U14">
        <f>M17</f>
        <v>3709.8398522975267</v>
      </c>
      <c r="V14">
        <f>M16*(22/7)*((M9/2)^2)</f>
        <v>3709.8398522975267</v>
      </c>
      <c r="W14">
        <f t="shared" si="0"/>
        <v>0</v>
      </c>
      <c r="X14" t="s">
        <v>73</v>
      </c>
    </row>
    <row r="15" spans="2:37" x14ac:dyDescent="0.35">
      <c r="B15" t="s">
        <v>114</v>
      </c>
      <c r="D15">
        <v>0.1</v>
      </c>
      <c r="F15" t="s">
        <v>35</v>
      </c>
      <c r="G15" t="s">
        <v>37</v>
      </c>
      <c r="H15">
        <v>50</v>
      </c>
      <c r="J15" t="s">
        <v>52</v>
      </c>
      <c r="L15">
        <v>850</v>
      </c>
      <c r="M15" s="2">
        <v>525.99874430952298</v>
      </c>
      <c r="N15">
        <v>250</v>
      </c>
      <c r="P15" t="s">
        <v>84</v>
      </c>
      <c r="Q15" t="s">
        <v>42</v>
      </c>
      <c r="R15">
        <v>1.1871700000000001</v>
      </c>
      <c r="T15" t="s">
        <v>71</v>
      </c>
      <c r="U15">
        <f>M18</f>
        <v>7.4998921015622102</v>
      </c>
      <c r="V15">
        <f>M16/H11</f>
        <v>7.4998921015622102</v>
      </c>
      <c r="W15">
        <f t="shared" si="0"/>
        <v>0</v>
      </c>
      <c r="X15" t="s">
        <v>20</v>
      </c>
    </row>
    <row r="16" spans="2:37" x14ac:dyDescent="0.35">
      <c r="B16" t="s">
        <v>115</v>
      </c>
      <c r="D16">
        <v>0.7</v>
      </c>
      <c r="F16" t="s">
        <v>36</v>
      </c>
      <c r="G16" t="s">
        <v>37</v>
      </c>
      <c r="H16">
        <v>50</v>
      </c>
      <c r="J16" t="s">
        <v>72</v>
      </c>
      <c r="L16">
        <v>2500</v>
      </c>
      <c r="M16" s="2">
        <v>749.98921015622102</v>
      </c>
      <c r="N16">
        <v>500</v>
      </c>
      <c r="P16" t="s">
        <v>85</v>
      </c>
      <c r="Q16" t="s">
        <v>42</v>
      </c>
      <c r="R16">
        <v>3.3600000000000001E-3</v>
      </c>
    </row>
    <row r="17" spans="2:24" x14ac:dyDescent="0.35">
      <c r="B17" t="s">
        <v>116</v>
      </c>
      <c r="D17">
        <v>2.5</v>
      </c>
      <c r="J17" t="s">
        <v>53</v>
      </c>
      <c r="L17">
        <v>200</v>
      </c>
      <c r="M17" s="2">
        <v>3709.8398522975267</v>
      </c>
      <c r="N17">
        <v>35000</v>
      </c>
      <c r="T17" s="2"/>
      <c r="U17" s="2"/>
      <c r="V17" s="2"/>
      <c r="W17" s="2"/>
      <c r="X17" t="s">
        <v>57</v>
      </c>
    </row>
    <row r="18" spans="2:24" x14ac:dyDescent="0.35">
      <c r="B18" t="s">
        <v>117</v>
      </c>
      <c r="D18">
        <v>394.3</v>
      </c>
      <c r="J18" t="s">
        <v>54</v>
      </c>
      <c r="L18">
        <v>25</v>
      </c>
      <c r="M18" s="2">
        <v>7.4998921015622102</v>
      </c>
      <c r="N18">
        <v>5</v>
      </c>
      <c r="T18" s="2"/>
      <c r="U18" s="2"/>
      <c r="V18" s="2"/>
      <c r="W18" s="2"/>
      <c r="X18" t="s">
        <v>57</v>
      </c>
    </row>
    <row r="19" spans="2:24" x14ac:dyDescent="0.35">
      <c r="B19" t="s">
        <v>122</v>
      </c>
      <c r="D19">
        <v>70.1643720709327</v>
      </c>
    </row>
    <row r="20" spans="2:24" x14ac:dyDescent="0.35">
      <c r="B20" t="s">
        <v>123</v>
      </c>
      <c r="D20">
        <v>200</v>
      </c>
      <c r="F20" t="s">
        <v>23</v>
      </c>
      <c r="G20" t="s">
        <v>24</v>
      </c>
      <c r="H20">
        <f>H13</f>
        <v>3</v>
      </c>
      <c r="J20" t="s">
        <v>76</v>
      </c>
      <c r="M20" s="2">
        <v>0.36133086961352723</v>
      </c>
      <c r="N20" s="1">
        <v>9.9999999999999995E-7</v>
      </c>
      <c r="T20" t="s">
        <v>79</v>
      </c>
      <c r="U20">
        <f>M22</f>
        <v>88.618701822393561</v>
      </c>
      <c r="V20">
        <f>M10*M16</f>
        <v>88.618701822393561</v>
      </c>
      <c r="W20">
        <f t="shared" si="0"/>
        <v>0</v>
      </c>
      <c r="X20" t="s">
        <v>57</v>
      </c>
    </row>
    <row r="21" spans="2:24" x14ac:dyDescent="0.35">
      <c r="B21" t="s">
        <v>124</v>
      </c>
      <c r="D21">
        <v>1.4999999999999999E-2</v>
      </c>
      <c r="F21" t="s">
        <v>25</v>
      </c>
      <c r="G21" t="s">
        <v>22</v>
      </c>
      <c r="H21">
        <f>H12</f>
        <v>600</v>
      </c>
      <c r="J21" t="s">
        <v>77</v>
      </c>
      <c r="M21" s="2">
        <v>0.71432876977976789</v>
      </c>
      <c r="N21" s="1">
        <v>9.9999999999999995E-7</v>
      </c>
    </row>
    <row r="22" spans="2:24" x14ac:dyDescent="0.35">
      <c r="B22" t="s">
        <v>127</v>
      </c>
      <c r="D22">
        <v>0.85</v>
      </c>
      <c r="F22" t="s">
        <v>27</v>
      </c>
      <c r="G22" t="s">
        <v>24</v>
      </c>
      <c r="H22">
        <v>9</v>
      </c>
      <c r="J22" t="s">
        <v>78</v>
      </c>
      <c r="M22" s="2">
        <v>88.618701822393561</v>
      </c>
      <c r="N22" s="1">
        <v>9.9999999999999995E-7</v>
      </c>
      <c r="T22" t="s">
        <v>175</v>
      </c>
      <c r="U22">
        <f>M20</f>
        <v>0.36133086961352723</v>
      </c>
      <c r="V22">
        <f>(M22*H5*H23/H25)*(H24/(H24-1))*((H22/H20)^((H24-1)/H24)-1)/1000000</f>
        <v>0.36133086961352723</v>
      </c>
      <c r="W22">
        <f t="shared" si="0"/>
        <v>0</v>
      </c>
    </row>
    <row r="23" spans="2:24" x14ac:dyDescent="0.35">
      <c r="B23" t="s">
        <v>132</v>
      </c>
      <c r="D23">
        <v>50000</v>
      </c>
      <c r="F23" t="s">
        <v>28</v>
      </c>
      <c r="G23" t="s">
        <v>22</v>
      </c>
      <c r="H23">
        <v>323</v>
      </c>
    </row>
    <row r="24" spans="2:24" x14ac:dyDescent="0.35">
      <c r="B24" t="s">
        <v>133</v>
      </c>
      <c r="D24">
        <v>50</v>
      </c>
      <c r="F24" t="s">
        <v>31</v>
      </c>
      <c r="G24" t="s">
        <v>20</v>
      </c>
      <c r="H24">
        <v>1.4</v>
      </c>
      <c r="J24" t="s">
        <v>59</v>
      </c>
      <c r="K24" t="s">
        <v>20</v>
      </c>
      <c r="L24">
        <v>1</v>
      </c>
      <c r="M24" s="2">
        <f>R9/(R9+R8)</f>
        <v>0.96558766023372944</v>
      </c>
      <c r="N24" s="1">
        <v>9.9999999999999995E-7</v>
      </c>
      <c r="O24">
        <v>0.96558376404549395</v>
      </c>
      <c r="T24" t="s">
        <v>80</v>
      </c>
      <c r="U24">
        <f>M21</f>
        <v>0.71432876977976789</v>
      </c>
      <c r="V24">
        <f>M22*H26*(H21-H23)/1000000</f>
        <v>0.71432876977976789</v>
      </c>
      <c r="W24">
        <f t="shared" si="0"/>
        <v>0</v>
      </c>
      <c r="X24" t="s">
        <v>92</v>
      </c>
    </row>
    <row r="25" spans="2:24" x14ac:dyDescent="0.35">
      <c r="B25" t="s">
        <v>134</v>
      </c>
      <c r="D25">
        <v>0.6</v>
      </c>
      <c r="F25" t="s">
        <v>32</v>
      </c>
      <c r="G25" t="s">
        <v>20</v>
      </c>
      <c r="H25">
        <v>0.85</v>
      </c>
      <c r="J25" t="s">
        <v>60</v>
      </c>
      <c r="K25" t="s">
        <v>20</v>
      </c>
      <c r="L25">
        <v>1</v>
      </c>
      <c r="M25" s="2">
        <f>1-M24</f>
        <v>3.4412339766270561E-2</v>
      </c>
      <c r="N25" s="1">
        <v>9.9999999999999995E-7</v>
      </c>
      <c r="O25">
        <v>3.4416235954505797E-2</v>
      </c>
    </row>
    <row r="26" spans="2:24" x14ac:dyDescent="0.35">
      <c r="B26" t="s">
        <v>135</v>
      </c>
      <c r="D26">
        <v>2</v>
      </c>
      <c r="F26" t="s">
        <v>33</v>
      </c>
      <c r="G26" t="s">
        <v>30</v>
      </c>
      <c r="H26">
        <v>29.1</v>
      </c>
      <c r="J26" t="s">
        <v>81</v>
      </c>
      <c r="M26" s="2">
        <v>65.252115145231571</v>
      </c>
      <c r="N26" s="1">
        <v>9.9999999999999995E-7</v>
      </c>
      <c r="T26" t="s">
        <v>86</v>
      </c>
      <c r="U26">
        <f>M26*R14</f>
        <v>88.618701822393561</v>
      </c>
      <c r="V26">
        <f>M22</f>
        <v>88.618701822393561</v>
      </c>
      <c r="W26">
        <f t="shared" si="0"/>
        <v>0</v>
      </c>
      <c r="X26" t="s">
        <v>57</v>
      </c>
    </row>
    <row r="27" spans="2:24" x14ac:dyDescent="0.35">
      <c r="B27" t="s">
        <v>140</v>
      </c>
      <c r="D27">
        <v>603.1</v>
      </c>
      <c r="N27" s="1"/>
      <c r="V27">
        <f>V26/R14</f>
        <v>65.252115145231571</v>
      </c>
    </row>
    <row r="28" spans="2:24" x14ac:dyDescent="0.35">
      <c r="B28" t="s">
        <v>143</v>
      </c>
      <c r="D28">
        <v>7072.6943346505104</v>
      </c>
      <c r="N28" s="1"/>
      <c r="T28" t="s">
        <v>87</v>
      </c>
      <c r="U28">
        <f>M24+M25</f>
        <v>1</v>
      </c>
      <c r="V28">
        <f>1</f>
        <v>1</v>
      </c>
      <c r="W28">
        <f t="shared" si="0"/>
        <v>0</v>
      </c>
      <c r="X28" t="s">
        <v>20</v>
      </c>
    </row>
    <row r="29" spans="2:24" x14ac:dyDescent="0.35">
      <c r="B29" t="s">
        <v>144</v>
      </c>
      <c r="D29">
        <v>157.929826191367</v>
      </c>
    </row>
    <row r="30" spans="2:24" x14ac:dyDescent="0.35">
      <c r="B30" t="s">
        <v>152</v>
      </c>
      <c r="D30">
        <v>15</v>
      </c>
    </row>
    <row r="31" spans="2:24" x14ac:dyDescent="0.35">
      <c r="B31" t="s">
        <v>153</v>
      </c>
      <c r="D31">
        <v>10</v>
      </c>
      <c r="J31" t="s">
        <v>94</v>
      </c>
      <c r="M31" s="2">
        <v>78795346.02440691</v>
      </c>
      <c r="N31" s="1">
        <v>9.9999999999999995E-7</v>
      </c>
    </row>
    <row r="32" spans="2:24" x14ac:dyDescent="0.35">
      <c r="B32" t="s">
        <v>158</v>
      </c>
      <c r="D32">
        <v>4.99955553670135E-2</v>
      </c>
      <c r="J32" t="s">
        <v>95</v>
      </c>
      <c r="M32" s="2">
        <v>828175906.50679195</v>
      </c>
      <c r="N32" s="1">
        <v>9.9999999999999995E-7</v>
      </c>
      <c r="T32" s="2" t="s">
        <v>74</v>
      </c>
      <c r="U32" s="2">
        <f>M73</f>
        <v>730.58443736374318</v>
      </c>
      <c r="V32" s="2">
        <f>M14</f>
        <v>730.58443736374318</v>
      </c>
      <c r="W32" s="2">
        <f t="shared" si="0"/>
        <v>0</v>
      </c>
    </row>
    <row r="33" spans="2:23" x14ac:dyDescent="0.35">
      <c r="B33" t="s">
        <v>166</v>
      </c>
      <c r="D33">
        <v>9.9999999999999998E-13</v>
      </c>
      <c r="T33" s="2" t="s">
        <v>75</v>
      </c>
      <c r="U33">
        <f>M31</f>
        <v>78795346.02440691</v>
      </c>
      <c r="V33">
        <f>((M73*3.6*D6*D8)+(M14*3.6*D9))*D10</f>
        <v>78795346.02440691</v>
      </c>
      <c r="W33">
        <f t="shared" si="0"/>
        <v>0</v>
      </c>
    </row>
    <row r="34" spans="2:23" x14ac:dyDescent="0.35">
      <c r="B34" t="s">
        <v>167</v>
      </c>
      <c r="D34">
        <v>20</v>
      </c>
      <c r="J34" t="s">
        <v>106</v>
      </c>
      <c r="L34">
        <f>2*((53000 + (28000 * ((N11*0.000001*H11)^0.8))) * L18 * D11/D12)</f>
        <v>4985617.2880248176</v>
      </c>
      <c r="M34" s="2">
        <v>1488158.8247053283</v>
      </c>
      <c r="N34">
        <f>2*((53000 + (28000 * ((L11*0.000001*H11)^0.8))) * N18 * D11/D12)</f>
        <v>988521.3423542981</v>
      </c>
      <c r="T34" s="2" t="s">
        <v>93</v>
      </c>
      <c r="U34">
        <f>M32</f>
        <v>828175906.50679195</v>
      </c>
      <c r="V34">
        <f>M73*3.6*D8*D7/3600</f>
        <v>828175906.50679195</v>
      </c>
      <c r="W34">
        <f t="shared" si="0"/>
        <v>0</v>
      </c>
    </row>
    <row r="35" spans="2:23" x14ac:dyDescent="0.35">
      <c r="B35" t="s">
        <v>184</v>
      </c>
      <c r="D35">
        <v>20.015999999999998</v>
      </c>
      <c r="J35" t="s">
        <v>107</v>
      </c>
      <c r="L35">
        <f>(0.18*M34) + (D13*H9*L16/10)</f>
        <v>268259.0884469591</v>
      </c>
      <c r="M35" s="2">
        <v>267985.73676158552</v>
      </c>
      <c r="N35">
        <f>(0.18*M34) + (D13*H9*N16/10)</f>
        <v>267946.68844695907</v>
      </c>
    </row>
    <row r="36" spans="2:23" x14ac:dyDescent="0.35">
      <c r="B36" t="s">
        <v>202</v>
      </c>
      <c r="D36">
        <v>29.1</v>
      </c>
      <c r="T36" t="s">
        <v>105</v>
      </c>
      <c r="U36">
        <f>M34</f>
        <v>1488158.8247053283</v>
      </c>
      <c r="V36">
        <f>2*((53000 + (28000 * ((M11*0.000001*H11)^0.8))) * M18 * D11/D12)</f>
        <v>1488158.8247053283</v>
      </c>
      <c r="W36">
        <f t="shared" si="0"/>
        <v>0</v>
      </c>
    </row>
    <row r="37" spans="2:23" x14ac:dyDescent="0.35">
      <c r="J37" t="s">
        <v>111</v>
      </c>
      <c r="M37" s="2">
        <v>614431.61677084328</v>
      </c>
      <c r="T37" t="s">
        <v>108</v>
      </c>
      <c r="U37">
        <f>M35</f>
        <v>267985.73676158552</v>
      </c>
      <c r="V37">
        <f>(0.18*M34) + (D13*H9*M16/10)</f>
        <v>267985.73676158552</v>
      </c>
      <c r="W37">
        <f t="shared" si="0"/>
        <v>0</v>
      </c>
    </row>
    <row r="38" spans="2:23" x14ac:dyDescent="0.35">
      <c r="J38" t="s">
        <v>118</v>
      </c>
      <c r="M38" s="2">
        <v>1746837.0337309539</v>
      </c>
    </row>
    <row r="39" spans="2:23" x14ac:dyDescent="0.35">
      <c r="J39" t="s">
        <v>119</v>
      </c>
      <c r="M39" s="2">
        <v>314430.6660715717</v>
      </c>
      <c r="T39" t="s">
        <v>112</v>
      </c>
      <c r="U39">
        <f>M37</f>
        <v>614431.61677084328</v>
      </c>
      <c r="V39">
        <f>D14*((M20/D15)^D16)*D17</f>
        <v>614431.61677084328</v>
      </c>
      <c r="W39">
        <f t="shared" si="0"/>
        <v>0</v>
      </c>
    </row>
    <row r="40" spans="2:23" x14ac:dyDescent="0.35">
      <c r="T40" t="s">
        <v>120</v>
      </c>
      <c r="U40">
        <f>M38</f>
        <v>1746837.0337309539</v>
      </c>
      <c r="V40">
        <f>1.18*M37*(D11/D18)</f>
        <v>1746837.0337309539</v>
      </c>
      <c r="W40">
        <f t="shared" si="0"/>
        <v>0</v>
      </c>
    </row>
    <row r="41" spans="2:23" x14ac:dyDescent="0.35">
      <c r="T41" t="s">
        <v>121</v>
      </c>
      <c r="U41">
        <f>M39</f>
        <v>314430.6660715717</v>
      </c>
      <c r="V41">
        <f>0.18*M38</f>
        <v>314430.6660715717</v>
      </c>
      <c r="W41">
        <f t="shared" si="0"/>
        <v>0</v>
      </c>
    </row>
    <row r="42" spans="2:23" x14ac:dyDescent="0.35">
      <c r="J42" t="s">
        <v>126</v>
      </c>
      <c r="M42" s="2">
        <v>50.903952297728608</v>
      </c>
    </row>
    <row r="43" spans="2:23" x14ac:dyDescent="0.35">
      <c r="J43" t="s">
        <v>129</v>
      </c>
      <c r="M43" s="2">
        <v>0.60717945431280274</v>
      </c>
      <c r="T43" t="s">
        <v>125</v>
      </c>
      <c r="U43">
        <f>M42</f>
        <v>50.903952297728608</v>
      </c>
      <c r="V43">
        <f>M21*1000000/(D20*D19)</f>
        <v>50.903952297728608</v>
      </c>
      <c r="W43">
        <f t="shared" si="0"/>
        <v>0</v>
      </c>
    </row>
    <row r="44" spans="2:23" x14ac:dyDescent="0.35">
      <c r="J44" t="s">
        <v>130</v>
      </c>
      <c r="M44" s="2">
        <v>32.787690532891347</v>
      </c>
      <c r="T44" t="s">
        <v>128</v>
      </c>
      <c r="U44">
        <f>M43</f>
        <v>0.60717945431280274</v>
      </c>
      <c r="V44">
        <f>M21*D22</f>
        <v>0.60717945431280274</v>
      </c>
      <c r="W44">
        <f t="shared" si="0"/>
        <v>0</v>
      </c>
    </row>
    <row r="45" spans="2:23" x14ac:dyDescent="0.35">
      <c r="J45" t="s">
        <v>136</v>
      </c>
      <c r="M45" s="2">
        <v>101080.85327119712</v>
      </c>
      <c r="T45" t="s">
        <v>131</v>
      </c>
      <c r="U45">
        <f>M44</f>
        <v>32.787690532891347</v>
      </c>
      <c r="V45">
        <f>M43*3600*D21</f>
        <v>32.787690532891347</v>
      </c>
      <c r="W45">
        <f t="shared" si="0"/>
        <v>0</v>
      </c>
    </row>
    <row r="46" spans="2:23" x14ac:dyDescent="0.35">
      <c r="J46" t="s">
        <v>137</v>
      </c>
      <c r="M46" s="2">
        <v>187882.00384183708</v>
      </c>
    </row>
    <row r="47" spans="2:23" x14ac:dyDescent="0.35">
      <c r="J47" t="s">
        <v>138</v>
      </c>
      <c r="M47" s="2">
        <v>33818.760691530675</v>
      </c>
      <c r="T47" t="s">
        <v>131</v>
      </c>
      <c r="U47">
        <f>M45</f>
        <v>101080.85327119712</v>
      </c>
      <c r="V47">
        <f>D23*((M42/D24)^D25)*D26</f>
        <v>101080.85327119712</v>
      </c>
      <c r="W47">
        <f t="shared" si="0"/>
        <v>0</v>
      </c>
    </row>
    <row r="48" spans="2:23" x14ac:dyDescent="0.35">
      <c r="J48" t="s">
        <v>145</v>
      </c>
      <c r="M48" s="2">
        <v>1312073.9670052009</v>
      </c>
      <c r="T48" t="s">
        <v>139</v>
      </c>
      <c r="U48">
        <f>M46</f>
        <v>187882.00384183708</v>
      </c>
      <c r="V48">
        <f>1.18*M45*D11/D27</f>
        <v>187882.00384183708</v>
      </c>
      <c r="W48">
        <f t="shared" si="0"/>
        <v>0</v>
      </c>
    </row>
    <row r="49" spans="10:23" x14ac:dyDescent="0.35">
      <c r="J49" t="s">
        <v>147</v>
      </c>
      <c r="M49" s="2">
        <v>246478.56926444164</v>
      </c>
      <c r="T49" t="s">
        <v>141</v>
      </c>
      <c r="U49">
        <f>M47</f>
        <v>33818.760691530675</v>
      </c>
      <c r="V49">
        <f>0.18*M46</f>
        <v>33818.760691530675</v>
      </c>
      <c r="W49">
        <f t="shared" si="0"/>
        <v>0</v>
      </c>
    </row>
    <row r="51" spans="10:23" x14ac:dyDescent="0.35">
      <c r="T51" t="s">
        <v>142</v>
      </c>
      <c r="U51">
        <f>M48</f>
        <v>1312073.9670052009</v>
      </c>
      <c r="V51">
        <f>1.18*M26*D28*D11/D18</f>
        <v>1312073.9670052009</v>
      </c>
      <c r="W51">
        <f t="shared" si="0"/>
        <v>0</v>
      </c>
    </row>
    <row r="52" spans="10:23" x14ac:dyDescent="0.35">
      <c r="J52" t="s">
        <v>148</v>
      </c>
      <c r="M52" s="2">
        <v>1376572.6448254075</v>
      </c>
      <c r="T52" t="s">
        <v>146</v>
      </c>
      <c r="U52">
        <f>M49</f>
        <v>246478.56926444164</v>
      </c>
      <c r="V52">
        <f>(0.18*M48)+(D29*M26)</f>
        <v>246478.56926444164</v>
      </c>
      <c r="W52">
        <f t="shared" si="0"/>
        <v>0</v>
      </c>
    </row>
    <row r="53" spans="10:23" x14ac:dyDescent="0.35">
      <c r="J53" t="s">
        <v>149</v>
      </c>
      <c r="M53" s="2">
        <v>62511.735115900323</v>
      </c>
    </row>
    <row r="54" spans="10:23" x14ac:dyDescent="0.35">
      <c r="J54" t="s">
        <v>150</v>
      </c>
      <c r="M54" s="2">
        <v>1054382.4006890077</v>
      </c>
      <c r="T54" t="s">
        <v>154</v>
      </c>
      <c r="U54">
        <f>M53</f>
        <v>62511.735115900323</v>
      </c>
      <c r="V54">
        <f>R16*3.6*M26*D31*D10</f>
        <v>62511.735115900323</v>
      </c>
      <c r="W54">
        <f t="shared" si="0"/>
        <v>0</v>
      </c>
    </row>
    <row r="55" spans="10:23" x14ac:dyDescent="0.35">
      <c r="J55" t="s">
        <v>151</v>
      </c>
      <c r="M55" s="2">
        <v>259678.50902049948</v>
      </c>
      <c r="T55" t="s">
        <v>155</v>
      </c>
      <c r="U55">
        <f>M54</f>
        <v>1054382.4006890077</v>
      </c>
      <c r="V55">
        <f>((R15*M26)-M75)*3.6*D30*D10</f>
        <v>1054382.4006890077</v>
      </c>
      <c r="W55">
        <f t="shared" si="0"/>
        <v>0</v>
      </c>
    </row>
    <row r="56" spans="10:23" x14ac:dyDescent="0.35">
      <c r="T56" t="s">
        <v>156</v>
      </c>
      <c r="U56">
        <f>M55</f>
        <v>259678.50902049948</v>
      </c>
      <c r="V56">
        <f>M44*D10</f>
        <v>259678.50902049948</v>
      </c>
      <c r="W56">
        <f t="shared" si="0"/>
        <v>0</v>
      </c>
    </row>
    <row r="57" spans="10:23" x14ac:dyDescent="0.35">
      <c r="J57" t="s">
        <v>159</v>
      </c>
      <c r="M57" s="2">
        <v>44495068.240215972</v>
      </c>
      <c r="T57" t="s">
        <v>157</v>
      </c>
      <c r="U57">
        <f>M52</f>
        <v>1376572.6448254075</v>
      </c>
      <c r="V57">
        <f>M53+M54+M55</f>
        <v>1376572.6448254075</v>
      </c>
      <c r="W57">
        <f t="shared" si="0"/>
        <v>0</v>
      </c>
    </row>
    <row r="58" spans="10:23" x14ac:dyDescent="0.35">
      <c r="J58" t="s">
        <v>193</v>
      </c>
      <c r="M58" s="2">
        <v>79658059.757196039</v>
      </c>
    </row>
    <row r="59" spans="10:23" x14ac:dyDescent="0.35">
      <c r="J59" t="s">
        <v>194</v>
      </c>
      <c r="M59" s="2">
        <v>136727678.95719603</v>
      </c>
      <c r="T59" t="s">
        <v>161</v>
      </c>
      <c r="U59">
        <f>M57</f>
        <v>44495068.240215972</v>
      </c>
      <c r="V59" s="3">
        <f>(M76+M32+M34+M38+M46+M48)*D32</f>
        <v>44495068.240215972</v>
      </c>
      <c r="W59">
        <f>ABS(U59-V59)</f>
        <v>0</v>
      </c>
    </row>
    <row r="60" spans="10:23" x14ac:dyDescent="0.35">
      <c r="T60" t="s">
        <v>162</v>
      </c>
      <c r="U60">
        <f>M58</f>
        <v>79658059.757196039</v>
      </c>
      <c r="V60" s="3">
        <f>M31+M35+M39+M47+M49</f>
        <v>79658059.757196039</v>
      </c>
      <c r="W60">
        <f t="shared" si="0"/>
        <v>0</v>
      </c>
    </row>
    <row r="61" spans="10:23" x14ac:dyDescent="0.35">
      <c r="T61" t="s">
        <v>195</v>
      </c>
      <c r="U61">
        <f>M59</f>
        <v>136727678.95719603</v>
      </c>
      <c r="V61" s="3">
        <f>M76+M31+M35+M39+M47+M49</f>
        <v>136727678.95719603</v>
      </c>
      <c r="W61">
        <f t="shared" si="0"/>
        <v>0</v>
      </c>
    </row>
    <row r="62" spans="10:23" x14ac:dyDescent="0.35">
      <c r="J62" t="s">
        <v>163</v>
      </c>
      <c r="M62" s="2">
        <f>M58+M57-M52</f>
        <v>122776555.3525866</v>
      </c>
    </row>
    <row r="63" spans="10:23" x14ac:dyDescent="0.35">
      <c r="T63" t="s">
        <v>164</v>
      </c>
      <c r="U63" s="3">
        <f>M65</f>
        <v>-2455749405.1793041</v>
      </c>
      <c r="V63">
        <f>((M52-M58)/D33)*(1-(1/((1+D33)^D34)))-(M57/D32)</f>
        <v>-2455749405.1793041</v>
      </c>
      <c r="W63">
        <f t="shared" ref="W63:W68" si="1">ABS(U63-V63)</f>
        <v>0</v>
      </c>
    </row>
    <row r="64" spans="10:23" x14ac:dyDescent="0.35">
      <c r="T64" t="s">
        <v>168</v>
      </c>
      <c r="U64">
        <f>M66</f>
        <v>876.11325097444558</v>
      </c>
      <c r="V64">
        <f>(M57+M58)/(((R15*M26)-M75)*3.6*D10*(2.016))</f>
        <v>876.11325097444558</v>
      </c>
      <c r="W64">
        <f t="shared" si="1"/>
        <v>0</v>
      </c>
    </row>
    <row r="65" spans="10:24" x14ac:dyDescent="0.35">
      <c r="J65" t="s">
        <v>165</v>
      </c>
      <c r="M65" s="2">
        <v>-2455749405.1793041</v>
      </c>
      <c r="T65" t="s">
        <v>169</v>
      </c>
      <c r="U65">
        <f>M67</f>
        <v>1778.5778877302819</v>
      </c>
      <c r="V65">
        <f>(M57+((M58+((D34-1)*M59))/D34))/(R16*3.6*M26*D10*(16.043))</f>
        <v>1778.5778877302819</v>
      </c>
      <c r="W65">
        <f t="shared" si="1"/>
        <v>0</v>
      </c>
    </row>
    <row r="66" spans="10:24" x14ac:dyDescent="0.35">
      <c r="J66" t="s">
        <v>170</v>
      </c>
      <c r="M66" s="2">
        <v>876.11325097444558</v>
      </c>
      <c r="T66" t="s">
        <v>172</v>
      </c>
      <c r="U66">
        <f>M68</f>
        <v>513.03672333436793</v>
      </c>
      <c r="V66">
        <f>(M57+M58)/((((R15*M26)-M75)*3.6*D10*(2.016))+(R16*3.6*M26*D10*(16.043)))</f>
        <v>513.03672333436793</v>
      </c>
      <c r="W66">
        <f t="shared" si="1"/>
        <v>0</v>
      </c>
    </row>
    <row r="67" spans="10:24" x14ac:dyDescent="0.35">
      <c r="J67" t="s">
        <v>171</v>
      </c>
      <c r="M67" s="2">
        <v>1778.5778877302819</v>
      </c>
    </row>
    <row r="68" spans="10:24" x14ac:dyDescent="0.35">
      <c r="J68" t="s">
        <v>174</v>
      </c>
      <c r="M68" s="2">
        <v>513.03672333436793</v>
      </c>
      <c r="T68" t="s">
        <v>176</v>
      </c>
      <c r="U68">
        <f>M70</f>
        <v>0.15467447652744812</v>
      </c>
      <c r="V68">
        <f>(M52/(M57/D32))*100</f>
        <v>0.15467447652744812</v>
      </c>
      <c r="W68">
        <f t="shared" si="1"/>
        <v>0</v>
      </c>
    </row>
    <row r="70" spans="10:24" x14ac:dyDescent="0.35">
      <c r="J70" t="s">
        <v>177</v>
      </c>
      <c r="M70" s="2">
        <v>0.15467447652744812</v>
      </c>
    </row>
    <row r="71" spans="10:24" x14ac:dyDescent="0.35">
      <c r="T71" t="s">
        <v>189</v>
      </c>
      <c r="U71">
        <f>M75</f>
        <v>75</v>
      </c>
      <c r="V71">
        <f>R15*M26</f>
        <v>77.465353536964571</v>
      </c>
      <c r="W71">
        <f>V71-U71</f>
        <v>2.4653535369645709</v>
      </c>
      <c r="X71" t="s">
        <v>190</v>
      </c>
    </row>
    <row r="72" spans="10:24" x14ac:dyDescent="0.35">
      <c r="T72" t="s">
        <v>191</v>
      </c>
      <c r="U72">
        <f>M76</f>
        <v>57069619.199999996</v>
      </c>
      <c r="V72" s="3">
        <f>M74*3.6*D35*D10</f>
        <v>57069619.199999996</v>
      </c>
      <c r="W72">
        <f>ABS(U72-V72)</f>
        <v>0</v>
      </c>
    </row>
    <row r="73" spans="10:24" x14ac:dyDescent="0.35">
      <c r="J73" t="s">
        <v>185</v>
      </c>
      <c r="M73" s="2">
        <v>730.58443736374318</v>
      </c>
    </row>
    <row r="74" spans="10:24" x14ac:dyDescent="0.35">
      <c r="J74" t="s">
        <v>186</v>
      </c>
      <c r="M74" s="4">
        <v>100</v>
      </c>
    </row>
    <row r="75" spans="10:24" x14ac:dyDescent="0.35">
      <c r="J75" t="s">
        <v>187</v>
      </c>
      <c r="M75" s="4">
        <v>75</v>
      </c>
      <c r="O75" s="3"/>
      <c r="T75" t="s">
        <v>201</v>
      </c>
      <c r="U75">
        <f>M79</f>
        <v>0.60455250000000005</v>
      </c>
      <c r="V75">
        <f>M75*D36*(H21-H23)/1000000</f>
        <v>0.60455250000000005</v>
      </c>
      <c r="W75">
        <f>ABS(V75-U75)</f>
        <v>0</v>
      </c>
    </row>
    <row r="76" spans="10:24" x14ac:dyDescent="0.35">
      <c r="J76" t="s">
        <v>192</v>
      </c>
      <c r="M76" s="4">
        <v>57069619.199999996</v>
      </c>
    </row>
    <row r="77" spans="10:24" x14ac:dyDescent="0.35">
      <c r="T77" t="s">
        <v>203</v>
      </c>
      <c r="U77" s="3">
        <f>M43+M81</f>
        <v>0.60718945431280269</v>
      </c>
      <c r="V77">
        <f>M79</f>
        <v>0.60455250000000005</v>
      </c>
      <c r="W77">
        <f>U77-V77</f>
        <v>2.6369543128026418E-3</v>
      </c>
      <c r="X77" t="s">
        <v>207</v>
      </c>
    </row>
    <row r="78" spans="10:24" x14ac:dyDescent="0.35">
      <c r="T78" t="s">
        <v>204</v>
      </c>
      <c r="U78">
        <f>M82</f>
        <v>655290.33036657993</v>
      </c>
      <c r="V78" s="3">
        <f xml:space="preserve"> 68500 + 93000 * ((M81 * 1000000) ^ 0.8)</f>
        <v>655290.33036657993</v>
      </c>
      <c r="W78">
        <f>ABS(U78-V78)</f>
        <v>0</v>
      </c>
    </row>
    <row r="79" spans="10:24" x14ac:dyDescent="0.35">
      <c r="J79" t="s">
        <v>196</v>
      </c>
      <c r="M79" s="2">
        <v>0.60455250000000005</v>
      </c>
      <c r="Q79">
        <f>M43-M79</f>
        <v>2.6269543128026873E-3</v>
      </c>
      <c r="T79" t="s">
        <v>205</v>
      </c>
      <c r="U79">
        <f>M83</f>
        <v>1221357.2961511691</v>
      </c>
      <c r="V79">
        <f>M82*(D11/D12)</f>
        <v>1221357.2961511691</v>
      </c>
      <c r="W79">
        <f t="shared" ref="W79:W80" si="2">ABS(U79-V79)</f>
        <v>0</v>
      </c>
    </row>
    <row r="80" spans="10:24" x14ac:dyDescent="0.35">
      <c r="T80" t="s">
        <v>206</v>
      </c>
      <c r="U80">
        <f>M84</f>
        <v>3.9600000000000004</v>
      </c>
      <c r="V80" s="1">
        <f>(M81*1000)*D10*D5</f>
        <v>3.9600000000000004</v>
      </c>
      <c r="W80">
        <f t="shared" si="2"/>
        <v>0</v>
      </c>
    </row>
    <row r="81" spans="10:13" x14ac:dyDescent="0.35">
      <c r="J81" t="s">
        <v>197</v>
      </c>
      <c r="M81" s="5">
        <v>1.0000000000000001E-5</v>
      </c>
    </row>
    <row r="82" spans="10:13" x14ac:dyDescent="0.35">
      <c r="J82" t="s">
        <v>198</v>
      </c>
      <c r="M82" s="2">
        <v>655290.33036657993</v>
      </c>
    </row>
    <row r="83" spans="10:13" x14ac:dyDescent="0.35">
      <c r="J83" t="s">
        <v>199</v>
      </c>
      <c r="M83" s="2">
        <v>1221357.2961511691</v>
      </c>
    </row>
    <row r="84" spans="10:13" x14ac:dyDescent="0.35">
      <c r="J84" t="s">
        <v>200</v>
      </c>
      <c r="M84" s="2">
        <v>3.9600000000000004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18EA-BB3E-42C0-9B9C-5DB2005E6B2D}">
  <dimension ref="B3:AK84"/>
  <sheetViews>
    <sheetView topLeftCell="I69" workbookViewId="0">
      <selection activeCell="V78" sqref="V78"/>
    </sheetView>
  </sheetViews>
  <sheetFormatPr defaultRowHeight="14.5" x14ac:dyDescent="0.35"/>
  <cols>
    <col min="4" max="4" width="11.81640625" bestFit="1" customWidth="1"/>
    <col min="13" max="13" width="11.81640625" style="2" bestFit="1" customWidth="1"/>
    <col min="18" max="18" width="11.81640625" bestFit="1" customWidth="1"/>
    <col min="21" max="21" width="14.08984375" bestFit="1" customWidth="1"/>
    <col min="22" max="22" width="14.54296875" customWidth="1"/>
    <col min="35" max="35" width="11.81640625" bestFit="1" customWidth="1"/>
  </cols>
  <sheetData>
    <row r="3" spans="2:37" x14ac:dyDescent="0.35">
      <c r="F3" t="s">
        <v>0</v>
      </c>
      <c r="J3" t="s">
        <v>4</v>
      </c>
      <c r="P3" t="s">
        <v>41</v>
      </c>
      <c r="T3" t="s">
        <v>7</v>
      </c>
      <c r="AA3" t="s">
        <v>11</v>
      </c>
    </row>
    <row r="4" spans="2:37" x14ac:dyDescent="0.35">
      <c r="B4" t="s">
        <v>1</v>
      </c>
      <c r="C4" t="s">
        <v>2</v>
      </c>
      <c r="D4" t="s">
        <v>3</v>
      </c>
      <c r="F4" t="s">
        <v>1</v>
      </c>
      <c r="G4" t="s">
        <v>2</v>
      </c>
      <c r="H4" t="s">
        <v>3</v>
      </c>
      <c r="J4" t="s">
        <v>1</v>
      </c>
      <c r="K4" t="s">
        <v>2</v>
      </c>
      <c r="L4" t="s">
        <v>5</v>
      </c>
      <c r="M4" s="2" t="s">
        <v>3</v>
      </c>
      <c r="N4" t="s">
        <v>6</v>
      </c>
      <c r="P4" t="s">
        <v>1</v>
      </c>
      <c r="Q4" t="s">
        <v>2</v>
      </c>
      <c r="R4" t="s">
        <v>3</v>
      </c>
      <c r="T4" t="s">
        <v>1</v>
      </c>
      <c r="U4" t="s">
        <v>8</v>
      </c>
      <c r="V4" t="s">
        <v>9</v>
      </c>
      <c r="W4" t="s">
        <v>56</v>
      </c>
      <c r="X4" t="s">
        <v>10</v>
      </c>
    </row>
    <row r="5" spans="2:37" x14ac:dyDescent="0.35">
      <c r="B5" t="s">
        <v>96</v>
      </c>
      <c r="D5">
        <v>0.05</v>
      </c>
      <c r="F5" t="s">
        <v>29</v>
      </c>
      <c r="G5" t="s">
        <v>30</v>
      </c>
      <c r="H5">
        <v>8.3140000000000001</v>
      </c>
    </row>
    <row r="6" spans="2:37" x14ac:dyDescent="0.35">
      <c r="B6" t="s">
        <v>97</v>
      </c>
      <c r="D6">
        <f>D5/3600</f>
        <v>1.388888888888889E-5</v>
      </c>
      <c r="T6" s="2" t="s">
        <v>188</v>
      </c>
      <c r="U6" s="4">
        <f>M73+M74+M75</f>
        <v>905.58443736374318</v>
      </c>
      <c r="V6" s="2">
        <f>M12*M16*H8</f>
        <v>905.58443736374329</v>
      </c>
      <c r="W6" s="2">
        <f>ABS(U6-V6)</f>
        <v>1.1368683772161603E-13</v>
      </c>
    </row>
    <row r="7" spans="2:37" x14ac:dyDescent="0.35">
      <c r="B7" t="s">
        <v>98</v>
      </c>
      <c r="D7">
        <v>4200</v>
      </c>
      <c r="F7" t="s">
        <v>12</v>
      </c>
      <c r="G7" t="s">
        <v>13</v>
      </c>
      <c r="H7">
        <v>5</v>
      </c>
      <c r="J7" t="s">
        <v>38</v>
      </c>
      <c r="K7" t="s">
        <v>37</v>
      </c>
      <c r="L7">
        <v>700</v>
      </c>
      <c r="M7" s="2">
        <v>688.76949710588997</v>
      </c>
      <c r="N7">
        <v>100</v>
      </c>
      <c r="P7" t="s">
        <v>43</v>
      </c>
      <c r="Q7" t="s">
        <v>42</v>
      </c>
      <c r="R7">
        <v>2.1935169999999999E-3</v>
      </c>
      <c r="T7" t="s">
        <v>55</v>
      </c>
      <c r="U7">
        <f>M10</f>
        <v>6.5065232000000001E-2</v>
      </c>
      <c r="V7">
        <f>R8+R9</f>
        <v>6.5065232000000001E-2</v>
      </c>
      <c r="W7">
        <f>ABS(U7-V7)</f>
        <v>0</v>
      </c>
      <c r="X7" t="s">
        <v>57</v>
      </c>
    </row>
    <row r="8" spans="2:37" x14ac:dyDescent="0.35">
      <c r="B8" t="s">
        <v>99</v>
      </c>
      <c r="D8">
        <f>269900</f>
        <v>269900</v>
      </c>
      <c r="F8" t="s">
        <v>14</v>
      </c>
      <c r="G8" t="s">
        <v>15</v>
      </c>
      <c r="H8">
        <v>0.03</v>
      </c>
      <c r="J8" t="s">
        <v>39</v>
      </c>
      <c r="K8" t="s">
        <v>18</v>
      </c>
      <c r="L8">
        <v>30</v>
      </c>
      <c r="M8" s="2">
        <v>5.9999999424272801</v>
      </c>
      <c r="N8">
        <v>6</v>
      </c>
      <c r="P8" t="s">
        <v>44</v>
      </c>
      <c r="Q8" t="s">
        <v>42</v>
      </c>
      <c r="R8">
        <v>2.1560519999999999E-3</v>
      </c>
      <c r="T8" t="s">
        <v>58</v>
      </c>
      <c r="U8">
        <f>M10*M25</f>
        <v>2.1560520000000029E-3</v>
      </c>
      <c r="V8">
        <f>R8</f>
        <v>2.1560519999999999E-3</v>
      </c>
      <c r="W8">
        <f>ABS(U8-V8)</f>
        <v>3.0357660829594124E-18</v>
      </c>
      <c r="X8" t="s">
        <v>57</v>
      </c>
    </row>
    <row r="9" spans="2:37" x14ac:dyDescent="0.35">
      <c r="B9" t="s">
        <v>100</v>
      </c>
      <c r="D9">
        <f>1.1*1.72*0.001*0.01802*1000</f>
        <v>3.4093840000000007E-2</v>
      </c>
      <c r="F9" t="s">
        <v>16</v>
      </c>
      <c r="G9" t="s">
        <v>110</v>
      </c>
      <c r="H9">
        <v>0.01</v>
      </c>
      <c r="J9" t="s">
        <v>40</v>
      </c>
      <c r="K9" t="s">
        <v>13</v>
      </c>
      <c r="L9">
        <v>4</v>
      </c>
      <c r="M9" s="2">
        <v>2.8351749145988698</v>
      </c>
      <c r="N9">
        <v>0.8</v>
      </c>
      <c r="P9" t="s">
        <v>45</v>
      </c>
      <c r="Q9" t="s">
        <v>42</v>
      </c>
      <c r="R9">
        <v>6.2909179999999995E-2</v>
      </c>
      <c r="T9" t="s">
        <v>62</v>
      </c>
      <c r="U9">
        <f>M24*M10</f>
        <v>6.2909179999999995E-2</v>
      </c>
      <c r="V9">
        <f>R9</f>
        <v>6.2909179999999995E-2</v>
      </c>
      <c r="W9">
        <f t="shared" ref="W9:W61" si="0">ABS(U9-V9)</f>
        <v>0</v>
      </c>
      <c r="X9" t="s">
        <v>57</v>
      </c>
    </row>
    <row r="10" spans="2:37" x14ac:dyDescent="0.35">
      <c r="B10" t="s">
        <v>101</v>
      </c>
      <c r="D10">
        <f>330*24</f>
        <v>7920</v>
      </c>
      <c r="F10" t="s">
        <v>17</v>
      </c>
      <c r="G10" t="s">
        <v>18</v>
      </c>
      <c r="H10">
        <v>15000</v>
      </c>
      <c r="J10" t="s">
        <v>47</v>
      </c>
      <c r="K10" t="s">
        <v>42</v>
      </c>
      <c r="M10" s="2">
        <v>6.5065232000000001E-2</v>
      </c>
      <c r="N10" s="1">
        <v>9.9999999999999995E-7</v>
      </c>
      <c r="P10" t="s">
        <v>46</v>
      </c>
      <c r="Q10" t="s">
        <v>42</v>
      </c>
      <c r="R10">
        <v>1.3965000000000001E-4</v>
      </c>
      <c r="T10" t="s">
        <v>61</v>
      </c>
      <c r="U10">
        <f>M11</f>
        <v>31.550000925755029</v>
      </c>
      <c r="V10">
        <f>3.14*((M9^2)/4)*H7</f>
        <v>31.550000925755029</v>
      </c>
      <c r="W10">
        <f t="shared" si="0"/>
        <v>0</v>
      </c>
      <c r="X10" t="s">
        <v>63</v>
      </c>
    </row>
    <row r="11" spans="2:37" x14ac:dyDescent="0.35">
      <c r="B11" t="s">
        <v>103</v>
      </c>
      <c r="D11">
        <v>950</v>
      </c>
      <c r="F11" t="s">
        <v>19</v>
      </c>
      <c r="G11" t="s">
        <v>20</v>
      </c>
      <c r="H11">
        <v>100</v>
      </c>
      <c r="J11" t="s">
        <v>48</v>
      </c>
      <c r="K11" t="s">
        <v>65</v>
      </c>
      <c r="L11">
        <v>2.5</v>
      </c>
      <c r="M11" s="2">
        <v>31.550000925755029</v>
      </c>
      <c r="N11">
        <v>65</v>
      </c>
      <c r="P11" t="s">
        <v>47</v>
      </c>
      <c r="R11">
        <f>R8+R9</f>
        <v>6.5065232000000001E-2</v>
      </c>
      <c r="T11" t="s">
        <v>64</v>
      </c>
      <c r="U11">
        <f>M12</f>
        <v>12.074459048990001</v>
      </c>
      <c r="V11">
        <f>M8*(H12/298.15)</f>
        <v>12.074459048990001</v>
      </c>
      <c r="W11">
        <f t="shared" si="0"/>
        <v>0</v>
      </c>
      <c r="X11" t="s">
        <v>66</v>
      </c>
    </row>
    <row r="12" spans="2:37" x14ac:dyDescent="0.35">
      <c r="B12" t="s">
        <v>104</v>
      </c>
      <c r="D12">
        <v>509.7</v>
      </c>
      <c r="F12" t="s">
        <v>21</v>
      </c>
      <c r="G12" t="s">
        <v>22</v>
      </c>
      <c r="H12">
        <v>600</v>
      </c>
      <c r="J12" t="s">
        <v>49</v>
      </c>
      <c r="K12" t="s">
        <v>18</v>
      </c>
      <c r="L12">
        <v>10</v>
      </c>
      <c r="M12" s="2">
        <v>12.074459048990001</v>
      </c>
      <c r="N12">
        <v>68</v>
      </c>
      <c r="T12" t="s">
        <v>67</v>
      </c>
      <c r="U12">
        <f>M15</f>
        <v>838.76949710588997</v>
      </c>
      <c r="V12">
        <f>H14+H15+M7+H16</f>
        <v>838.76949710588997</v>
      </c>
      <c r="W12">
        <f t="shared" si="0"/>
        <v>0</v>
      </c>
      <c r="X12" t="s">
        <v>68</v>
      </c>
      <c r="AA12" t="s">
        <v>182</v>
      </c>
      <c r="AB12" t="s">
        <v>178</v>
      </c>
      <c r="AC12">
        <f>M13</f>
        <v>847.66469626714002</v>
      </c>
      <c r="AD12" t="s">
        <v>42</v>
      </c>
      <c r="AE12">
        <f>AC12*2.016</f>
        <v>1708.8920276745544</v>
      </c>
      <c r="AF12" t="s">
        <v>179</v>
      </c>
      <c r="AG12">
        <f>AE12*3600</f>
        <v>6152011.2996283956</v>
      </c>
      <c r="AH12" t="s">
        <v>180</v>
      </c>
      <c r="AI12">
        <f>AG12*D10</f>
        <v>48723929493.056892</v>
      </c>
      <c r="AJ12" t="s">
        <v>181</v>
      </c>
      <c r="AK12">
        <f>((M31)+(M32*D32))/AI12</f>
        <v>2.8623155124293804E-3</v>
      </c>
    </row>
    <row r="13" spans="2:37" x14ac:dyDescent="0.35">
      <c r="B13" t="s">
        <v>109</v>
      </c>
      <c r="D13">
        <v>156.19999999999999</v>
      </c>
      <c r="F13" t="s">
        <v>26</v>
      </c>
      <c r="G13" t="s">
        <v>24</v>
      </c>
      <c r="H13">
        <v>3</v>
      </c>
      <c r="J13" t="s">
        <v>50</v>
      </c>
      <c r="L13">
        <f>L12*L16*H8</f>
        <v>750</v>
      </c>
      <c r="M13" s="2">
        <v>847.66469626714002</v>
      </c>
      <c r="N13">
        <f>N12*N16*H8</f>
        <v>1020</v>
      </c>
      <c r="P13" t="s">
        <v>82</v>
      </c>
      <c r="Q13" t="s">
        <v>42</v>
      </c>
      <c r="R13">
        <v>1.319145</v>
      </c>
      <c r="T13" t="s">
        <v>69</v>
      </c>
      <c r="U13">
        <f>M16</f>
        <v>2500.0000239886335</v>
      </c>
      <c r="V13">
        <f>H10/M8</f>
        <v>2500.0000239886335</v>
      </c>
      <c r="W13">
        <f t="shared" si="0"/>
        <v>0</v>
      </c>
      <c r="X13" t="s">
        <v>20</v>
      </c>
      <c r="AA13" t="s">
        <v>183</v>
      </c>
      <c r="AB13" t="s">
        <v>178</v>
      </c>
      <c r="AC13">
        <f>R15*M26</f>
        <v>142.3366926960334</v>
      </c>
      <c r="AD13" t="s">
        <v>42</v>
      </c>
      <c r="AE13">
        <f>AC13*2.016</f>
        <v>286.95077247520334</v>
      </c>
      <c r="AF13" t="s">
        <v>179</v>
      </c>
      <c r="AG13">
        <f>AE13*3600</f>
        <v>1033022.780910732</v>
      </c>
      <c r="AH13" t="s">
        <v>180</v>
      </c>
    </row>
    <row r="14" spans="2:37" x14ac:dyDescent="0.35">
      <c r="B14" t="s">
        <v>113</v>
      </c>
      <c r="D14">
        <v>100000</v>
      </c>
      <c r="F14" t="s">
        <v>34</v>
      </c>
      <c r="G14" t="s">
        <v>37</v>
      </c>
      <c r="H14">
        <v>50</v>
      </c>
      <c r="J14" t="s">
        <v>51</v>
      </c>
      <c r="L14" s="1">
        <v>9.9999999999999995E-7</v>
      </c>
      <c r="M14" s="2">
        <v>847.66469626714002</v>
      </c>
      <c r="N14">
        <f>N13</f>
        <v>1020</v>
      </c>
      <c r="P14" t="s">
        <v>83</v>
      </c>
      <c r="Q14" t="s">
        <v>42</v>
      </c>
      <c r="R14">
        <v>1.3583780000000001</v>
      </c>
      <c r="T14" t="s">
        <v>70</v>
      </c>
      <c r="U14">
        <f>M17</f>
        <v>15789.354572948476</v>
      </c>
      <c r="V14">
        <f>M16*(22/7)*((M9/2)^2)</f>
        <v>15789.354572948476</v>
      </c>
      <c r="W14">
        <f t="shared" si="0"/>
        <v>0</v>
      </c>
      <c r="X14" t="s">
        <v>73</v>
      </c>
    </row>
    <row r="15" spans="2:37" x14ac:dyDescent="0.35">
      <c r="B15" t="s">
        <v>114</v>
      </c>
      <c r="D15">
        <v>0.1</v>
      </c>
      <c r="F15" t="s">
        <v>35</v>
      </c>
      <c r="G15" t="s">
        <v>37</v>
      </c>
      <c r="H15">
        <v>50</v>
      </c>
      <c r="J15" t="s">
        <v>52</v>
      </c>
      <c r="L15">
        <v>850</v>
      </c>
      <c r="M15" s="2">
        <v>838.76949710588997</v>
      </c>
      <c r="N15">
        <v>250</v>
      </c>
      <c r="P15" t="s">
        <v>84</v>
      </c>
      <c r="Q15" t="s">
        <v>42</v>
      </c>
      <c r="R15">
        <v>1.1886350000000001</v>
      </c>
      <c r="T15" t="s">
        <v>71</v>
      </c>
      <c r="U15">
        <f>M18</f>
        <v>25.000000239886337</v>
      </c>
      <c r="V15">
        <f>M16/H11</f>
        <v>25.000000239886337</v>
      </c>
      <c r="W15">
        <f t="shared" si="0"/>
        <v>0</v>
      </c>
      <c r="X15" t="s">
        <v>20</v>
      </c>
    </row>
    <row r="16" spans="2:37" x14ac:dyDescent="0.35">
      <c r="B16" t="s">
        <v>115</v>
      </c>
      <c r="D16">
        <v>0.7</v>
      </c>
      <c r="F16" t="s">
        <v>36</v>
      </c>
      <c r="G16" t="s">
        <v>37</v>
      </c>
      <c r="H16">
        <v>50</v>
      </c>
      <c r="J16" t="s">
        <v>72</v>
      </c>
      <c r="L16">
        <v>2500</v>
      </c>
      <c r="M16" s="2">
        <v>2500.0000239886335</v>
      </c>
      <c r="N16">
        <v>500</v>
      </c>
      <c r="P16" t="s">
        <v>85</v>
      </c>
      <c r="Q16" t="s">
        <v>42</v>
      </c>
      <c r="R16">
        <v>3.2780000000000001E-3</v>
      </c>
    </row>
    <row r="17" spans="2:24" x14ac:dyDescent="0.35">
      <c r="B17" t="s">
        <v>116</v>
      </c>
      <c r="D17">
        <v>2.5</v>
      </c>
      <c r="J17" t="s">
        <v>53</v>
      </c>
      <c r="L17">
        <v>200</v>
      </c>
      <c r="M17" s="2">
        <v>15789.354572948476</v>
      </c>
      <c r="N17">
        <v>35000</v>
      </c>
      <c r="T17" s="2"/>
      <c r="U17" s="2"/>
      <c r="V17" s="2"/>
      <c r="W17" s="2"/>
      <c r="X17" t="s">
        <v>57</v>
      </c>
    </row>
    <row r="18" spans="2:24" x14ac:dyDescent="0.35">
      <c r="B18" t="s">
        <v>117</v>
      </c>
      <c r="D18">
        <v>394.3</v>
      </c>
      <c r="J18" t="s">
        <v>54</v>
      </c>
      <c r="L18">
        <v>25</v>
      </c>
      <c r="M18" s="2">
        <v>25.000000239886337</v>
      </c>
      <c r="N18">
        <v>5</v>
      </c>
      <c r="T18" s="2"/>
      <c r="U18" s="2"/>
      <c r="V18" s="2"/>
      <c r="W18" s="2"/>
      <c r="X18" t="s">
        <v>57</v>
      </c>
    </row>
    <row r="19" spans="2:24" x14ac:dyDescent="0.35">
      <c r="B19" t="s">
        <v>122</v>
      </c>
      <c r="D19">
        <v>70.1643720709327</v>
      </c>
    </row>
    <row r="20" spans="2:24" x14ac:dyDescent="0.35">
      <c r="B20" t="s">
        <v>123</v>
      </c>
      <c r="D20">
        <v>200</v>
      </c>
      <c r="F20" t="s">
        <v>23</v>
      </c>
      <c r="G20" t="s">
        <v>24</v>
      </c>
      <c r="H20">
        <f>H13</f>
        <v>3</v>
      </c>
      <c r="J20" t="s">
        <v>76</v>
      </c>
      <c r="M20" s="2">
        <v>0.66323689588891188</v>
      </c>
      <c r="N20" s="1">
        <v>9.9999999999999995E-7</v>
      </c>
      <c r="T20" t="s">
        <v>79</v>
      </c>
      <c r="U20">
        <f>M22</f>
        <v>162.66308156082601</v>
      </c>
      <c r="V20">
        <f>M10*M16</f>
        <v>162.66308156082601</v>
      </c>
      <c r="W20">
        <f t="shared" si="0"/>
        <v>0</v>
      </c>
      <c r="X20" t="s">
        <v>57</v>
      </c>
    </row>
    <row r="21" spans="2:24" x14ac:dyDescent="0.35">
      <c r="B21" t="s">
        <v>124</v>
      </c>
      <c r="D21">
        <v>1.4999999999999999E-2</v>
      </c>
      <c r="F21" t="s">
        <v>25</v>
      </c>
      <c r="G21" t="s">
        <v>22</v>
      </c>
      <c r="H21">
        <f>H12</f>
        <v>600</v>
      </c>
      <c r="J21" t="s">
        <v>77</v>
      </c>
      <c r="M21" s="2">
        <v>1311178.3015373503</v>
      </c>
      <c r="N21" s="1">
        <v>9.9999999999999995E-7</v>
      </c>
    </row>
    <row r="22" spans="2:24" x14ac:dyDescent="0.35">
      <c r="B22" t="s">
        <v>127</v>
      </c>
      <c r="D22">
        <v>0.85</v>
      </c>
      <c r="F22" t="s">
        <v>27</v>
      </c>
      <c r="G22" t="s">
        <v>24</v>
      </c>
      <c r="H22">
        <v>9</v>
      </c>
      <c r="J22" t="s">
        <v>78</v>
      </c>
      <c r="M22" s="2">
        <v>162.66308156082601</v>
      </c>
      <c r="N22" s="1">
        <v>9.9999999999999995E-7</v>
      </c>
      <c r="T22" t="s">
        <v>175</v>
      </c>
      <c r="U22">
        <f>M20</f>
        <v>0.66323689588891188</v>
      </c>
      <c r="V22">
        <f>(M22*H5*H23/H25)*(H24/(H24-1))*((H22/H20)^((H24-1)/H24)-1)/1000000</f>
        <v>0.66323689588891188</v>
      </c>
      <c r="W22">
        <f t="shared" si="0"/>
        <v>0</v>
      </c>
    </row>
    <row r="23" spans="2:24" x14ac:dyDescent="0.35">
      <c r="B23" t="s">
        <v>132</v>
      </c>
      <c r="D23">
        <v>50000</v>
      </c>
      <c r="F23" t="s">
        <v>28</v>
      </c>
      <c r="G23" t="s">
        <v>22</v>
      </c>
      <c r="H23">
        <v>323</v>
      </c>
    </row>
    <row r="24" spans="2:24" x14ac:dyDescent="0.35">
      <c r="B24" t="s">
        <v>133</v>
      </c>
      <c r="D24">
        <v>50</v>
      </c>
      <c r="F24" t="s">
        <v>31</v>
      </c>
      <c r="G24" t="s">
        <v>20</v>
      </c>
      <c r="H24">
        <v>1.4</v>
      </c>
      <c r="J24" t="s">
        <v>59</v>
      </c>
      <c r="K24" t="s">
        <v>20</v>
      </c>
      <c r="L24">
        <v>1</v>
      </c>
      <c r="M24" s="2">
        <f>R9/(R9+R8)</f>
        <v>0.96686322427928939</v>
      </c>
      <c r="N24" s="1">
        <v>9.9999999999999995E-7</v>
      </c>
      <c r="O24">
        <v>0.67523746894066805</v>
      </c>
      <c r="T24" t="s">
        <v>80</v>
      </c>
      <c r="U24">
        <f>M21</f>
        <v>1311178.3015373503</v>
      </c>
      <c r="V24">
        <f>M22*H26*(H21-H23)</f>
        <v>1311178.3015373503</v>
      </c>
      <c r="W24">
        <f t="shared" si="0"/>
        <v>0</v>
      </c>
      <c r="X24" t="s">
        <v>92</v>
      </c>
    </row>
    <row r="25" spans="2:24" x14ac:dyDescent="0.35">
      <c r="B25" t="s">
        <v>134</v>
      </c>
      <c r="D25">
        <v>0.6</v>
      </c>
      <c r="F25" t="s">
        <v>32</v>
      </c>
      <c r="G25" t="s">
        <v>20</v>
      </c>
      <c r="H25">
        <v>0.85</v>
      </c>
      <c r="J25" t="s">
        <v>60</v>
      </c>
      <c r="K25" t="s">
        <v>20</v>
      </c>
      <c r="L25">
        <v>1</v>
      </c>
      <c r="M25" s="2">
        <f>1-M24</f>
        <v>3.313677572071061E-2</v>
      </c>
      <c r="N25" s="1">
        <v>9.9999999999999995E-7</v>
      </c>
      <c r="O25">
        <v>0.32476253105933101</v>
      </c>
    </row>
    <row r="26" spans="2:24" x14ac:dyDescent="0.35">
      <c r="B26" t="s">
        <v>135</v>
      </c>
      <c r="D26">
        <v>2</v>
      </c>
      <c r="F26" t="s">
        <v>33</v>
      </c>
      <c r="G26" t="s">
        <v>30</v>
      </c>
      <c r="H26">
        <v>29.1</v>
      </c>
      <c r="J26" t="s">
        <v>81</v>
      </c>
      <c r="M26" s="2">
        <v>119.74802415883208</v>
      </c>
      <c r="N26" s="1">
        <v>9.9999999999999995E-7</v>
      </c>
      <c r="T26" t="s">
        <v>86</v>
      </c>
      <c r="U26">
        <f>M26*R14</f>
        <v>162.66308156082601</v>
      </c>
      <c r="V26">
        <f>M22</f>
        <v>162.66308156082601</v>
      </c>
      <c r="W26">
        <f t="shared" si="0"/>
        <v>0</v>
      </c>
      <c r="X26" t="s">
        <v>57</v>
      </c>
    </row>
    <row r="27" spans="2:24" x14ac:dyDescent="0.35">
      <c r="B27" t="s">
        <v>140</v>
      </c>
      <c r="D27">
        <v>603.1</v>
      </c>
      <c r="N27" s="1"/>
      <c r="V27">
        <f>V26/R14</f>
        <v>119.74802415883208</v>
      </c>
    </row>
    <row r="28" spans="2:24" x14ac:dyDescent="0.35">
      <c r="B28" t="s">
        <v>143</v>
      </c>
      <c r="D28">
        <v>7072.6943346505104</v>
      </c>
      <c r="N28" s="1"/>
      <c r="T28" t="s">
        <v>87</v>
      </c>
      <c r="U28">
        <f>M24+M25</f>
        <v>1</v>
      </c>
      <c r="V28">
        <f>1</f>
        <v>1</v>
      </c>
      <c r="W28">
        <f t="shared" si="0"/>
        <v>0</v>
      </c>
      <c r="X28" t="s">
        <v>20</v>
      </c>
    </row>
    <row r="29" spans="2:24" x14ac:dyDescent="0.35">
      <c r="B29" t="s">
        <v>144</v>
      </c>
      <c r="D29">
        <v>157.929826191367</v>
      </c>
    </row>
    <row r="30" spans="2:24" x14ac:dyDescent="0.35">
      <c r="B30" t="s">
        <v>152</v>
      </c>
      <c r="D30">
        <v>11.6217440157262</v>
      </c>
    </row>
    <row r="31" spans="2:24" x14ac:dyDescent="0.35">
      <c r="B31" t="s">
        <v>153</v>
      </c>
      <c r="D31">
        <v>8.2006211612590896</v>
      </c>
      <c r="J31" t="s">
        <v>94</v>
      </c>
      <c r="M31" s="2">
        <v>91422742.723697916</v>
      </c>
      <c r="N31" s="1">
        <v>9.9999999999999995E-7</v>
      </c>
    </row>
    <row r="32" spans="2:24" x14ac:dyDescent="0.35">
      <c r="B32" t="s">
        <v>158</v>
      </c>
      <c r="D32">
        <v>4.99955553670135E-2</v>
      </c>
      <c r="J32" t="s">
        <v>95</v>
      </c>
      <c r="M32" s="2">
        <v>960895746.39450467</v>
      </c>
      <c r="N32" s="1">
        <v>9.9999999999999995E-7</v>
      </c>
      <c r="T32" s="2" t="s">
        <v>74</v>
      </c>
      <c r="U32" s="2">
        <f>M73</f>
        <v>847.66469626714002</v>
      </c>
      <c r="V32" s="2">
        <f>M14</f>
        <v>847.66469626714002</v>
      </c>
      <c r="W32" s="2">
        <f t="shared" si="0"/>
        <v>0</v>
      </c>
    </row>
    <row r="33" spans="2:23" x14ac:dyDescent="0.35">
      <c r="B33" t="s">
        <v>166</v>
      </c>
      <c r="D33">
        <v>9.9999999999999998E-13</v>
      </c>
      <c r="T33" s="2" t="s">
        <v>75</v>
      </c>
      <c r="U33">
        <f>M31</f>
        <v>91422742.723697916</v>
      </c>
      <c r="V33">
        <f>((M73*3.6*D6*D8)+(M14*3.6*D9))*D10</f>
        <v>91422742.723697916</v>
      </c>
      <c r="W33">
        <f t="shared" si="0"/>
        <v>0</v>
      </c>
    </row>
    <row r="34" spans="2:23" x14ac:dyDescent="0.35">
      <c r="B34" t="s">
        <v>167</v>
      </c>
      <c r="D34">
        <v>20</v>
      </c>
      <c r="J34" t="s">
        <v>106</v>
      </c>
      <c r="L34">
        <f>2*((53000 + (28000 * ((N11*0.000001*H11)^0.8))) * L18 * D11/D12)</f>
        <v>4985617.2880248176</v>
      </c>
      <c r="M34" s="2">
        <v>4965225.6858503837</v>
      </c>
      <c r="N34">
        <f>2*((53000 + (28000 * ((L11*0.000001*H11)^0.8))) * N18 * D11/D12)</f>
        <v>988521.3423542981</v>
      </c>
      <c r="T34" s="2" t="s">
        <v>93</v>
      </c>
      <c r="U34">
        <f>M32</f>
        <v>960895746.39450467</v>
      </c>
      <c r="V34">
        <f>M73*3.6*D8*D7/3600</f>
        <v>960895746.39450467</v>
      </c>
      <c r="W34">
        <f t="shared" si="0"/>
        <v>0</v>
      </c>
    </row>
    <row r="35" spans="2:23" x14ac:dyDescent="0.35">
      <c r="B35" t="s">
        <v>184</v>
      </c>
      <c r="D35">
        <v>20.015999999999998</v>
      </c>
      <c r="J35" t="s">
        <v>107</v>
      </c>
      <c r="L35">
        <f>(0.18*M34) + (D13*H9*L16/10)</f>
        <v>894131.12345306901</v>
      </c>
      <c r="M35" s="2">
        <v>894131.12345681607</v>
      </c>
      <c r="N35">
        <f>(0.18*M34) + (D13*H9*N16/10)</f>
        <v>893818.72345306899</v>
      </c>
    </row>
    <row r="36" spans="2:23" x14ac:dyDescent="0.35">
      <c r="B36" t="s">
        <v>202</v>
      </c>
      <c r="D36">
        <v>29.1</v>
      </c>
      <c r="T36" t="s">
        <v>105</v>
      </c>
      <c r="U36">
        <f>M34</f>
        <v>4965225.6858503837</v>
      </c>
      <c r="V36">
        <f>2*((53000 + (28000 * ((M11*0.000001*H11)^0.8))) * M18 * D11/D12)</f>
        <v>4965225.6858503837</v>
      </c>
      <c r="W36">
        <f t="shared" si="0"/>
        <v>0</v>
      </c>
    </row>
    <row r="37" spans="2:23" x14ac:dyDescent="0.35">
      <c r="J37" t="s">
        <v>111</v>
      </c>
      <c r="M37" s="2">
        <v>939957.20952882036</v>
      </c>
      <c r="T37" t="s">
        <v>108</v>
      </c>
      <c r="U37">
        <f>M35</f>
        <v>894131.12345681607</v>
      </c>
      <c r="V37">
        <f>(0.18*M34) + (D13*H9*M16/10)</f>
        <v>894131.12345681607</v>
      </c>
      <c r="W37">
        <f t="shared" si="0"/>
        <v>0</v>
      </c>
    </row>
    <row r="38" spans="2:23" x14ac:dyDescent="0.35">
      <c r="J38" t="s">
        <v>118</v>
      </c>
      <c r="M38" s="2">
        <v>2672310.5043921061</v>
      </c>
    </row>
    <row r="39" spans="2:23" x14ac:dyDescent="0.35">
      <c r="J39" t="s">
        <v>119</v>
      </c>
      <c r="M39" s="2">
        <v>481015.89079057908</v>
      </c>
      <c r="T39" t="s">
        <v>112</v>
      </c>
      <c r="U39">
        <f>M37</f>
        <v>939957.20952882036</v>
      </c>
      <c r="V39">
        <f>D14*((M20/D15)^D16)*D17</f>
        <v>939957.20952882036</v>
      </c>
      <c r="W39">
        <f t="shared" si="0"/>
        <v>0</v>
      </c>
    </row>
    <row r="40" spans="2:23" x14ac:dyDescent="0.35">
      <c r="T40" t="s">
        <v>120</v>
      </c>
      <c r="U40">
        <f>M38</f>
        <v>2672310.5043921061</v>
      </c>
      <c r="V40">
        <f>1.18*M37*(D11/D18)</f>
        <v>2672310.5043921061</v>
      </c>
      <c r="W40">
        <f t="shared" si="0"/>
        <v>0</v>
      </c>
    </row>
    <row r="41" spans="2:23" x14ac:dyDescent="0.35">
      <c r="T41" t="s">
        <v>121</v>
      </c>
      <c r="U41">
        <f>M39</f>
        <v>481015.89079057908</v>
      </c>
      <c r="V41">
        <f>0.18*M38</f>
        <v>481015.89079057908</v>
      </c>
      <c r="W41">
        <f t="shared" si="0"/>
        <v>0</v>
      </c>
    </row>
    <row r="42" spans="2:23" x14ac:dyDescent="0.35">
      <c r="J42" t="s">
        <v>126</v>
      </c>
      <c r="M42" s="2">
        <v>93.436188683610979</v>
      </c>
    </row>
    <row r="43" spans="2:23" x14ac:dyDescent="0.35">
      <c r="J43" t="s">
        <v>129</v>
      </c>
      <c r="M43" s="2">
        <v>1114501.5563067477</v>
      </c>
      <c r="T43" t="s">
        <v>125</v>
      </c>
      <c r="U43">
        <f>M42</f>
        <v>93.436188683610979</v>
      </c>
      <c r="V43">
        <f>M21/(D20*D19)</f>
        <v>93.436188683610979</v>
      </c>
      <c r="W43">
        <f t="shared" si="0"/>
        <v>0</v>
      </c>
    </row>
    <row r="44" spans="2:23" x14ac:dyDescent="0.35">
      <c r="J44" t="s">
        <v>130</v>
      </c>
      <c r="M44" s="2">
        <v>60183084.040564373</v>
      </c>
      <c r="T44" t="s">
        <v>128</v>
      </c>
      <c r="U44">
        <f>M43</f>
        <v>1114501.5563067477</v>
      </c>
      <c r="V44">
        <f>M21*D22</f>
        <v>1114501.5563067477</v>
      </c>
      <c r="W44">
        <f t="shared" si="0"/>
        <v>0</v>
      </c>
    </row>
    <row r="45" spans="2:23" x14ac:dyDescent="0.35">
      <c r="J45" t="s">
        <v>136</v>
      </c>
      <c r="M45" s="2">
        <v>145521.46773959187</v>
      </c>
      <c r="T45" t="s">
        <v>131</v>
      </c>
      <c r="U45">
        <f>M44</f>
        <v>60183084.040564373</v>
      </c>
      <c r="V45">
        <f>M43*3600*D21</f>
        <v>60183084.040564373</v>
      </c>
      <c r="W45">
        <f t="shared" si="0"/>
        <v>0</v>
      </c>
    </row>
    <row r="46" spans="2:23" x14ac:dyDescent="0.35">
      <c r="J46" t="s">
        <v>137</v>
      </c>
      <c r="M46" s="2">
        <v>270485.10253039707</v>
      </c>
    </row>
    <row r="47" spans="2:23" x14ac:dyDescent="0.35">
      <c r="J47" t="s">
        <v>138</v>
      </c>
      <c r="M47" s="2">
        <v>48687.318455471468</v>
      </c>
      <c r="T47" t="s">
        <v>131</v>
      </c>
      <c r="U47">
        <f>M45</f>
        <v>145521.46773959187</v>
      </c>
      <c r="V47">
        <f>D23*((M42/D24)^D25)*D26</f>
        <v>145521.46773959187</v>
      </c>
      <c r="W47">
        <f t="shared" si="0"/>
        <v>0</v>
      </c>
    </row>
    <row r="48" spans="2:23" x14ac:dyDescent="0.35">
      <c r="J48" t="s">
        <v>145</v>
      </c>
      <c r="M48" s="2">
        <v>2407864.7067518882</v>
      </c>
      <c r="T48" t="s">
        <v>139</v>
      </c>
      <c r="U48">
        <f>M46</f>
        <v>270485.10253039707</v>
      </c>
      <c r="V48">
        <f>1.18*M45*D11/D27</f>
        <v>270485.10253039707</v>
      </c>
      <c r="W48">
        <f t="shared" si="0"/>
        <v>0</v>
      </c>
    </row>
    <row r="49" spans="10:23" x14ac:dyDescent="0.35">
      <c r="J49" t="s">
        <v>147</v>
      </c>
      <c r="M49" s="2">
        <v>452327.43185750383</v>
      </c>
      <c r="T49" t="s">
        <v>141</v>
      </c>
      <c r="U49">
        <f>M47</f>
        <v>48687.318455471468</v>
      </c>
      <c r="V49">
        <f>0.18*M46</f>
        <v>48687.318455471468</v>
      </c>
      <c r="W49">
        <f t="shared" si="0"/>
        <v>0</v>
      </c>
    </row>
    <row r="51" spans="10:23" x14ac:dyDescent="0.35">
      <c r="T51" t="s">
        <v>142</v>
      </c>
      <c r="U51">
        <f>M48</f>
        <v>2407864.7067518882</v>
      </c>
      <c r="V51">
        <f>1.18*M26*D28*D11/D18</f>
        <v>2407864.7067518882</v>
      </c>
      <c r="W51">
        <f t="shared" si="0"/>
        <v>0</v>
      </c>
    </row>
    <row r="52" spans="10:23" x14ac:dyDescent="0.35">
      <c r="J52" t="s">
        <v>148</v>
      </c>
      <c r="M52" s="2">
        <v>28540761.430981338</v>
      </c>
      <c r="T52" t="s">
        <v>146</v>
      </c>
      <c r="U52">
        <f>M49</f>
        <v>452327.43185750383</v>
      </c>
      <c r="V52">
        <f>(0.18*M48)+(D29*M26)</f>
        <v>452327.43185750383</v>
      </c>
      <c r="W52">
        <f t="shared" si="0"/>
        <v>0</v>
      </c>
    </row>
    <row r="53" spans="10:23" x14ac:dyDescent="0.35">
      <c r="J53" t="s">
        <v>149</v>
      </c>
      <c r="M53" s="2">
        <v>91780.778561378305</v>
      </c>
    </row>
    <row r="54" spans="10:23" x14ac:dyDescent="0.35">
      <c r="J54" t="s">
        <v>150</v>
      </c>
      <c r="M54" s="2">
        <v>27972330.626818687</v>
      </c>
      <c r="T54" t="s">
        <v>154</v>
      </c>
      <c r="U54">
        <f>M53</f>
        <v>91780.778561378305</v>
      </c>
      <c r="V54">
        <f>R16*3.6*M26*D31*D10</f>
        <v>91780.778561378305</v>
      </c>
      <c r="W54">
        <f t="shared" si="0"/>
        <v>0</v>
      </c>
    </row>
    <row r="55" spans="10:23" x14ac:dyDescent="0.35">
      <c r="J55" t="s">
        <v>151</v>
      </c>
      <c r="M55" s="2">
        <v>476650.02560126985</v>
      </c>
      <c r="T55" t="s">
        <v>155</v>
      </c>
      <c r="U55">
        <f>M54</f>
        <v>27972330.626818687</v>
      </c>
      <c r="V55">
        <f>((R15*M26)-M75)*3.6*D30*D10</f>
        <v>27972330.626818687</v>
      </c>
      <c r="W55">
        <f t="shared" si="0"/>
        <v>0</v>
      </c>
    </row>
    <row r="56" spans="10:23" x14ac:dyDescent="0.35">
      <c r="T56" t="s">
        <v>156</v>
      </c>
      <c r="U56">
        <f>M55</f>
        <v>476650.02560126985</v>
      </c>
      <c r="V56">
        <f>M44*D10</f>
        <v>476650025601.26984</v>
      </c>
      <c r="W56">
        <f t="shared" si="0"/>
        <v>476649548951.24426</v>
      </c>
    </row>
    <row r="57" spans="10:23" x14ac:dyDescent="0.35">
      <c r="J57" t="s">
        <v>159</v>
      </c>
      <c r="M57" s="2">
        <v>48556264.94054769</v>
      </c>
      <c r="T57" t="s">
        <v>157</v>
      </c>
      <c r="U57">
        <f>M52</f>
        <v>28540761.430981338</v>
      </c>
      <c r="V57">
        <f>M53+M54+M55</f>
        <v>28540761.430981338</v>
      </c>
      <c r="W57">
        <f t="shared" si="0"/>
        <v>0</v>
      </c>
    </row>
    <row r="58" spans="10:23" x14ac:dyDescent="0.35">
      <c r="J58" t="s">
        <v>193</v>
      </c>
      <c r="M58" s="2">
        <v>93298904.488258287</v>
      </c>
    </row>
    <row r="59" spans="10:23" x14ac:dyDescent="0.35">
      <c r="J59" t="s">
        <v>194</v>
      </c>
      <c r="M59" s="2">
        <v>93298904.490346968</v>
      </c>
      <c r="T59" t="s">
        <v>161</v>
      </c>
      <c r="U59">
        <f>M57</f>
        <v>48556264.94054769</v>
      </c>
      <c r="V59" s="3">
        <f>(M76+M32+M34+M38+M46+M48)*D32</f>
        <v>48556264.94054769</v>
      </c>
      <c r="W59">
        <f>ABS(U59-V59)</f>
        <v>0</v>
      </c>
    </row>
    <row r="60" spans="10:23" x14ac:dyDescent="0.35">
      <c r="T60" t="s">
        <v>162</v>
      </c>
      <c r="U60">
        <f>M58</f>
        <v>93298904.488258287</v>
      </c>
      <c r="V60" s="3">
        <f>M31+M35+M39+M47+M49</f>
        <v>93298904.488258287</v>
      </c>
      <c r="W60">
        <f t="shared" si="0"/>
        <v>0</v>
      </c>
    </row>
    <row r="61" spans="10:23" x14ac:dyDescent="0.35">
      <c r="T61" t="s">
        <v>195</v>
      </c>
      <c r="U61">
        <f>M59</f>
        <v>93298904.490346968</v>
      </c>
      <c r="V61" s="3">
        <f>M76+M31+M35+M39+M47+M49</f>
        <v>93298904.490346968</v>
      </c>
      <c r="W61">
        <f t="shared" si="0"/>
        <v>0</v>
      </c>
    </row>
    <row r="62" spans="10:23" x14ac:dyDescent="0.35">
      <c r="J62" t="s">
        <v>163</v>
      </c>
      <c r="M62" s="2">
        <f>M58+M57-M52</f>
        <v>113314407.99782464</v>
      </c>
    </row>
    <row r="63" spans="10:23" x14ac:dyDescent="0.35">
      <c r="T63" t="s">
        <v>164</v>
      </c>
      <c r="U63" s="3">
        <f>M65</f>
        <v>-2266489634.2742395</v>
      </c>
      <c r="V63">
        <f>((M52-M58)/D33)*(1-(1/((1+D33)^D34)))-(M57/D32)</f>
        <v>-2266489634.2742395</v>
      </c>
      <c r="W63">
        <f t="shared" ref="W63:W68" si="1">ABS(U63-V63)</f>
        <v>0</v>
      </c>
    </row>
    <row r="64" spans="10:23" x14ac:dyDescent="0.35">
      <c r="T64" t="s">
        <v>168</v>
      </c>
      <c r="U64">
        <f>M66</f>
        <v>29.23460911819847</v>
      </c>
      <c r="V64">
        <f>(M57+((M58+((D34-1)*M59))/D34))/(((R15*M26)-M75)*3.6*D10*(2.016))</f>
        <v>29.23460911819847</v>
      </c>
      <c r="W64">
        <f t="shared" si="1"/>
        <v>0</v>
      </c>
    </row>
    <row r="65" spans="10:24" x14ac:dyDescent="0.35">
      <c r="J65" t="s">
        <v>165</v>
      </c>
      <c r="M65" s="2">
        <v>-2266489634.2742395</v>
      </c>
      <c r="T65" t="s">
        <v>169</v>
      </c>
      <c r="U65">
        <f>M67</f>
        <v>790.05003277083563</v>
      </c>
      <c r="V65">
        <f>(M57+((M58+((D34-1)*M59))/D34))/(R16*3.6*M26*D10*(16.043))</f>
        <v>790.05003277083563</v>
      </c>
      <c r="W65">
        <f t="shared" si="1"/>
        <v>0</v>
      </c>
    </row>
    <row r="66" spans="10:24" x14ac:dyDescent="0.35">
      <c r="J66" t="s">
        <v>170</v>
      </c>
      <c r="M66" s="2">
        <v>29.23460911819847</v>
      </c>
      <c r="Q66">
        <f>(((R15*M26)-M75)*3.6*D10*(2.016))</f>
        <v>4852302.5862003323</v>
      </c>
      <c r="T66" t="s">
        <v>172</v>
      </c>
      <c r="U66">
        <f>M68</f>
        <v>28.191427876178295</v>
      </c>
      <c r="V66">
        <f>(M57+((M58+((D34-1)*M59))/D34))/(Q66+Q67)</f>
        <v>28.191427876178295</v>
      </c>
      <c r="W66">
        <f t="shared" si="1"/>
        <v>0</v>
      </c>
    </row>
    <row r="67" spans="10:24" x14ac:dyDescent="0.35">
      <c r="J67" t="s">
        <v>171</v>
      </c>
      <c r="M67" s="2">
        <v>790.05003277083563</v>
      </c>
      <c r="Q67">
        <f>(R16*3.6*M26*D10*(16.043))</f>
        <v>179552.13410128065</v>
      </c>
    </row>
    <row r="68" spans="10:24" x14ac:dyDescent="0.35">
      <c r="J68" t="s">
        <v>174</v>
      </c>
      <c r="M68" s="2">
        <v>28.191427876178295</v>
      </c>
      <c r="T68" t="s">
        <v>176</v>
      </c>
      <c r="U68">
        <f>M70</f>
        <v>2.9386758229580914</v>
      </c>
      <c r="V68">
        <f>(M52/(M57/D32))*100</f>
        <v>2.9386758229580914</v>
      </c>
      <c r="W68">
        <f t="shared" si="1"/>
        <v>0</v>
      </c>
    </row>
    <row r="70" spans="10:24" x14ac:dyDescent="0.35">
      <c r="J70" t="s">
        <v>177</v>
      </c>
      <c r="M70" s="2">
        <v>2.9386758229580914</v>
      </c>
    </row>
    <row r="71" spans="10:24" x14ac:dyDescent="0.35">
      <c r="T71" t="s">
        <v>189</v>
      </c>
      <c r="U71">
        <f>M75</f>
        <v>57.919741092943198</v>
      </c>
      <c r="V71">
        <f>R15*M26</f>
        <v>142.3366926960334</v>
      </c>
      <c r="W71">
        <f>U71-V71</f>
        <v>-84.416951603090197</v>
      </c>
      <c r="X71" t="s">
        <v>190</v>
      </c>
    </row>
    <row r="72" spans="10:24" x14ac:dyDescent="0.35">
      <c r="T72" t="s">
        <v>191</v>
      </c>
      <c r="U72" s="3">
        <f>M76</f>
        <v>2.088674930823901E-3</v>
      </c>
      <c r="V72" s="3">
        <f>M74*3.6*D35*D10</f>
        <v>2.088674930823901E-3</v>
      </c>
      <c r="W72">
        <f>ABS(U72-V72)</f>
        <v>0</v>
      </c>
    </row>
    <row r="73" spans="10:24" x14ac:dyDescent="0.35">
      <c r="J73" t="s">
        <v>185</v>
      </c>
      <c r="M73" s="2">
        <v>847.66469626714002</v>
      </c>
    </row>
    <row r="74" spans="10:24" x14ac:dyDescent="0.35">
      <c r="J74" t="s">
        <v>186</v>
      </c>
      <c r="M74" s="4">
        <v>3.6598718549429202E-9</v>
      </c>
    </row>
    <row r="75" spans="10:24" x14ac:dyDescent="0.35">
      <c r="J75" t="s">
        <v>187</v>
      </c>
      <c r="M75" s="4">
        <v>57.919741092943198</v>
      </c>
      <c r="O75" s="3"/>
      <c r="T75" t="s">
        <v>201</v>
      </c>
      <c r="U75">
        <f>M79</f>
        <v>466873.6570278873</v>
      </c>
      <c r="V75">
        <f>M75*D36*(H21-H23)</f>
        <v>466873.6570278873</v>
      </c>
      <c r="W75">
        <f>ABS(V75-U75)</f>
        <v>0</v>
      </c>
    </row>
    <row r="76" spans="10:24" x14ac:dyDescent="0.35">
      <c r="J76" t="s">
        <v>192</v>
      </c>
      <c r="M76" s="4">
        <v>2.088674930823901E-3</v>
      </c>
    </row>
    <row r="77" spans="10:24" x14ac:dyDescent="0.35">
      <c r="T77" t="s">
        <v>203</v>
      </c>
      <c r="U77">
        <f>M43+M81</f>
        <v>1114501.5563167478</v>
      </c>
      <c r="V77">
        <f>M79</f>
        <v>466873.6570278873</v>
      </c>
      <c r="W77">
        <f>U77-V77</f>
        <v>647627.8992888605</v>
      </c>
      <c r="X77" t="s">
        <v>207</v>
      </c>
    </row>
    <row r="78" spans="10:24" x14ac:dyDescent="0.35">
      <c r="T78" t="s">
        <v>204</v>
      </c>
      <c r="U78">
        <f>M82</f>
        <v>68500.037023966855</v>
      </c>
      <c r="V78">
        <f xml:space="preserve"> 68500 + 93000 * ((M81 / 1000) ^ 0.8)</f>
        <v>68500.037023966855</v>
      </c>
      <c r="W78">
        <f>ABS(U78-V78)</f>
        <v>0</v>
      </c>
    </row>
    <row r="79" spans="10:24" x14ac:dyDescent="0.35">
      <c r="J79" t="s">
        <v>196</v>
      </c>
      <c r="M79" s="2">
        <v>466873.6570278873</v>
      </c>
      <c r="T79" t="s">
        <v>205</v>
      </c>
      <c r="U79">
        <f>M83</f>
        <v>127673.21007017561</v>
      </c>
      <c r="V79">
        <f>M82*(D11/D12)</f>
        <v>127673.21007017561</v>
      </c>
      <c r="W79">
        <f t="shared" ref="W79:W80" si="2">ABS(U79-V79)</f>
        <v>0</v>
      </c>
    </row>
    <row r="80" spans="10:24" x14ac:dyDescent="0.35">
      <c r="T80" t="s">
        <v>206</v>
      </c>
      <c r="U80">
        <f>M84</f>
        <v>3.9600000000000002E-6</v>
      </c>
      <c r="V80">
        <f>(M81/1000)*D10*D5</f>
        <v>3.9600000000000002E-6</v>
      </c>
      <c r="W80">
        <f t="shared" si="2"/>
        <v>0</v>
      </c>
    </row>
    <row r="81" spans="10:13" x14ac:dyDescent="0.35">
      <c r="J81" t="s">
        <v>197</v>
      </c>
      <c r="M81" s="5">
        <v>1.0000000000000001E-5</v>
      </c>
    </row>
    <row r="82" spans="10:13" x14ac:dyDescent="0.35">
      <c r="J82" t="s">
        <v>198</v>
      </c>
      <c r="M82" s="2">
        <v>68500.037023966855</v>
      </c>
    </row>
    <row r="83" spans="10:13" x14ac:dyDescent="0.35">
      <c r="J83" t="s">
        <v>199</v>
      </c>
      <c r="M83" s="2">
        <v>127673.21007017561</v>
      </c>
    </row>
    <row r="84" spans="10:13" x14ac:dyDescent="0.35">
      <c r="J84" t="s">
        <v>200</v>
      </c>
      <c r="M84" s="2">
        <v>3.9600000000000002E-6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To_Use</vt:lpstr>
      <vt:lpstr>To_Use1</vt:lpstr>
      <vt:lpstr>To_Use2</vt:lpstr>
      <vt:lpstr>To_Use3</vt:lpstr>
      <vt:lpstr>To_Use4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Hameed, Gul (PG/R - Chemistry &amp; Chem Eng)</dc:creator>
  <cp:lastModifiedBy>Hameed, Gul (PG/R - Chemistry &amp; Chem Eng)</cp:lastModifiedBy>
  <dcterms:created xsi:type="dcterms:W3CDTF">2026-02-26T10:50:30Z</dcterms:created>
  <dcterms:modified xsi:type="dcterms:W3CDTF">2026-03-15T22:45:05Z</dcterms:modified>
</cp:coreProperties>
</file>